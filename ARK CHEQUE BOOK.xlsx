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ALIA" sheetId="1" r:id="rId5"/>
    <sheet state="visible" name="CLASSIC" sheetId="2" r:id="rId6"/>
    <sheet state="visible" name="CALICUT_MALL" sheetId="3" r:id="rId7"/>
    <sheet state="visible" name="GRAND_PANAMARAM" sheetId="4" r:id="rId8"/>
    <sheet state="visible" name="PG_DEVERKOVIL" sheetId="5" r:id="rId9"/>
    <sheet state="visible" name="PG_KUNDUTHODE" sheetId="6" r:id="rId10"/>
    <sheet state="visible" name="SURYA_ANNASSERY" sheetId="7" r:id="rId11"/>
    <sheet state="visible" name="CITY_VYTHIRI" sheetId="8" r:id="rId12"/>
    <sheet state="visible" name="MONARC_KARAPARAMB" sheetId="9" r:id="rId13"/>
    <sheet state="visible" name="STAR_NARIKKUNI" sheetId="10" r:id="rId14"/>
    <sheet state="visible" name="SOUROOPYA THAMARASSERY" sheetId="11" r:id="rId15"/>
    <sheet state="visible" name="FREELAND MARKETING" sheetId="12" r:id="rId16"/>
    <sheet state="visible" name="GRAND MANANDAVADY" sheetId="13" r:id="rId17"/>
    <sheet state="visible" name="MARIYAN TRADING" sheetId="14" r:id="rId18"/>
    <sheet state="visible" name="MALABAR BIGBAZAR" sheetId="15" r:id="rId19"/>
    <sheet state="visible" name="DE METRO" sheetId="16" r:id="rId20"/>
    <sheet state="visible" name="ANANDA CHALA" sheetId="17" r:id="rId21"/>
    <sheet state="visible" name="POPULAR KATTIPPARA" sheetId="18" r:id="rId22"/>
    <sheet state="visible" name="LAVANYA THAMARASSERY" sheetId="19" r:id="rId23"/>
    <sheet state="visible" name="LOYAL PUTHOOR" sheetId="20" r:id="rId24"/>
    <sheet state="visible" name="GLOBAL MEPPAYYUR" sheetId="21" r:id="rId25"/>
    <sheet state="visible" name="PIPE SANITATION" sheetId="22" r:id="rId26"/>
    <sheet state="visible" name="POWER GOTHABROAD" sheetId="23" r:id="rId27"/>
    <sheet state="visible" name="PRIDE VENGERI" sheetId="24" r:id="rId28"/>
    <sheet state="visible" name="PRIME KAKKUR" sheetId="25" r:id="rId29"/>
    <sheet state="visible" name="NASEER &amp; CO" sheetId="26" r:id="rId30"/>
    <sheet state="visible" name="KADHIROOR " sheetId="27" r:id="rId31"/>
    <sheet state="visible" name="PARAMMAL" sheetId="28" r:id="rId32"/>
    <sheet state="visible" name="GLOBAL AMBALAVAYAL" sheetId="29" r:id="rId33"/>
    <sheet state="visible" name="GLOBAL PULPPALLY" sheetId="30" r:id="rId34"/>
    <sheet state="visible" name="OLAVATTOOR" sheetId="31" r:id="rId35"/>
    <sheet state="visible" name="KOYAS CHALIYAM" sheetId="32" r:id="rId36"/>
    <sheet state="visible" name="Sheet46" sheetId="33" r:id="rId37"/>
    <sheet state="visible" name="Sheet49" sheetId="34" r:id="rId38"/>
    <sheet state="visible" name="KARTHIK PLUMBING" sheetId="35" r:id="rId39"/>
    <sheet state="visible" name="JB KUMARASWAMI" sheetId="36" r:id="rId40"/>
    <sheet state="visible" name="FAMOUS" sheetId="37" r:id="rId41"/>
    <sheet state="visible" name="JSV STEELS" sheetId="38" r:id="rId42"/>
    <sheet state="visible" name="AL HAJAR" sheetId="39" r:id="rId43"/>
    <sheet state="visible" name="GENERAL BALUSSERY" sheetId="40" r:id="rId44"/>
    <sheet state="visible" name="NOVA" sheetId="41" r:id="rId45"/>
    <sheet state="visible" name="DREAM HOME" sheetId="42" r:id="rId46"/>
    <sheet state="visible" name="STAR CHEEKKILODE" sheetId="43" r:id="rId47"/>
    <sheet state="visible" name="INDIAN FEROK" sheetId="44" r:id="rId48"/>
    <sheet state="visible" name="STAR KUTTYADI" sheetId="45" r:id="rId49"/>
    <sheet state="visible" name="MINI KAKKODI" sheetId="46" r:id="rId50"/>
    <sheet state="visible" name="123 EMPORIUM " sheetId="47" r:id="rId51"/>
    <sheet state="visible" name="EAGLOSS" sheetId="48" r:id="rId52"/>
    <sheet state="visible" name="NEW KUNNATHOOR" sheetId="49" r:id="rId53"/>
    <sheet state="visible" name="ZOYO KOLAGAPARA" sheetId="50" r:id="rId54"/>
    <sheet state="visible" name="APPOLO" sheetId="51" r:id="rId55"/>
    <sheet state="visible" name="PATHICKAL" sheetId="52" r:id="rId56"/>
    <sheet state="visible" name="SANITO" sheetId="53" r:id="rId57"/>
    <sheet state="visible" name="KT ELECTRICALS" sheetId="54" r:id="rId58"/>
    <sheet state="visible" name="SMART HANDS" sheetId="55" r:id="rId59"/>
    <sheet state="visible" name="TOTAL DETAIL OF CHEQUES" sheetId="56" r:id="rId60"/>
  </sheets>
  <definedNames>
    <definedName hidden="1" localSheetId="40" name="_xlnm._FilterDatabase">NOVA!$A$1:$H$5</definedName>
    <definedName hidden="1" localSheetId="43" name="_xlnm._FilterDatabase">'INDIAN FEROK'!$A$1:$H$23</definedName>
    <definedName hidden="1" localSheetId="46" name="_xlnm._FilterDatabase">'123 EMPORIUM '!$A$1:$H$9</definedName>
  </definedNames>
  <calcPr/>
</workbook>
</file>

<file path=xl/sharedStrings.xml><?xml version="1.0" encoding="utf-8"?>
<sst xmlns="http://schemas.openxmlformats.org/spreadsheetml/2006/main" count="1114" uniqueCount="286">
  <si>
    <t>TOTAL CHEQUE TO BE PRESENTED</t>
  </si>
  <si>
    <t>DATE</t>
  </si>
  <si>
    <t>CHEQUE NUMBER</t>
  </si>
  <si>
    <t>AMOUNT</t>
  </si>
  <si>
    <t>STATUS</t>
  </si>
  <si>
    <t>REMARKS</t>
  </si>
  <si>
    <t>BOUNCED CHEQUE TOTAL</t>
  </si>
  <si>
    <t>CLEARED</t>
  </si>
  <si>
    <t>BOUNCED</t>
  </si>
  <si>
    <t>19/10/24</t>
  </si>
  <si>
    <t>23/10/24</t>
  </si>
  <si>
    <t>30/10/24</t>
  </si>
  <si>
    <t>15/11/24</t>
  </si>
  <si>
    <t>22/10/24</t>
  </si>
  <si>
    <t>26/10/24</t>
  </si>
  <si>
    <t>25/11/24</t>
  </si>
  <si>
    <t>19/12/24</t>
  </si>
  <si>
    <t>30/12/24</t>
  </si>
  <si>
    <t>16/11/24</t>
  </si>
  <si>
    <t>18/11/24</t>
  </si>
  <si>
    <t>29/11/24</t>
  </si>
  <si>
    <t>28/2/25</t>
  </si>
  <si>
    <t>21/3/25</t>
  </si>
  <si>
    <t>21/2/25</t>
  </si>
  <si>
    <t>18/1/25</t>
  </si>
  <si>
    <t>25/1/25</t>
  </si>
  <si>
    <t>30/3/25</t>
  </si>
  <si>
    <t xml:space="preserve"> </t>
  </si>
  <si>
    <t>20/4/25</t>
  </si>
  <si>
    <t>30/4/25</t>
  </si>
  <si>
    <t>20/5/25</t>
  </si>
  <si>
    <t>30/5/25</t>
  </si>
  <si>
    <t>20/6/25</t>
  </si>
  <si>
    <t>30/6/25</t>
  </si>
  <si>
    <t>20/7/25</t>
  </si>
  <si>
    <t>30/7/25</t>
  </si>
  <si>
    <t>21/8/25</t>
  </si>
  <si>
    <t>30/8/25</t>
  </si>
  <si>
    <t>21/9/25</t>
  </si>
  <si>
    <t>30/9/25</t>
  </si>
  <si>
    <t>13/5/25</t>
  </si>
  <si>
    <t>21/6/25</t>
  </si>
  <si>
    <t>cleared</t>
  </si>
  <si>
    <t>14/10/25</t>
  </si>
  <si>
    <t>21/10/25</t>
  </si>
  <si>
    <t>28/10/25</t>
  </si>
  <si>
    <t>clear</t>
  </si>
  <si>
    <t>13/11/25</t>
  </si>
  <si>
    <t>20/11/25</t>
  </si>
  <si>
    <t>27/11/25</t>
  </si>
  <si>
    <t>19/12/25</t>
  </si>
  <si>
    <t>30/12/25</t>
  </si>
  <si>
    <t>23/8/25</t>
  </si>
  <si>
    <t>CLEAR</t>
  </si>
  <si>
    <t>15/9</t>
  </si>
  <si>
    <t>24/9</t>
  </si>
  <si>
    <t>30/9</t>
  </si>
  <si>
    <t>17/10</t>
  </si>
  <si>
    <t>20/10</t>
  </si>
  <si>
    <t>27/10</t>
  </si>
  <si>
    <t>30/10</t>
  </si>
  <si>
    <t>20/11</t>
  </si>
  <si>
    <t>27/11</t>
  </si>
  <si>
    <t>20/12</t>
  </si>
  <si>
    <t>31/12/25</t>
  </si>
  <si>
    <t>30/1/26</t>
  </si>
  <si>
    <t>15/2/26</t>
  </si>
  <si>
    <t>22/2/26</t>
  </si>
  <si>
    <t>BOUNCE</t>
  </si>
  <si>
    <t>28/2/26</t>
  </si>
  <si>
    <t>18/3/26</t>
  </si>
  <si>
    <t>25/3/26</t>
  </si>
  <si>
    <t>28/3/26</t>
  </si>
  <si>
    <t>15/1/26</t>
  </si>
  <si>
    <t>22/1/26</t>
  </si>
  <si>
    <t>15/4/26</t>
  </si>
  <si>
    <t>30/4/26</t>
  </si>
  <si>
    <t>22/04/26</t>
  </si>
  <si>
    <t>15/5/26</t>
  </si>
  <si>
    <t>22/5/26</t>
  </si>
  <si>
    <t>30/5/26</t>
  </si>
  <si>
    <t>15/6/26</t>
  </si>
  <si>
    <t>22/6/26</t>
  </si>
  <si>
    <t>30/6/26</t>
  </si>
  <si>
    <t>22/7/26</t>
  </si>
  <si>
    <t>15/7/26</t>
  </si>
  <si>
    <t>29/07/26</t>
  </si>
  <si>
    <t>.</t>
  </si>
  <si>
    <t>2. CLASSIC</t>
  </si>
  <si>
    <t>18/9/24</t>
  </si>
  <si>
    <t xml:space="preserve">CLEARED </t>
  </si>
  <si>
    <t>23/9/24</t>
  </si>
  <si>
    <t>28/9/24</t>
  </si>
  <si>
    <t>22/1/25</t>
  </si>
  <si>
    <t>27/1/25</t>
  </si>
  <si>
    <t>27/6/25</t>
  </si>
  <si>
    <t>28/1/25</t>
  </si>
  <si>
    <t>13/02/26</t>
  </si>
  <si>
    <t>3. CALICUT MALL</t>
  </si>
  <si>
    <t>TOTAL CHEQUE BOUNCED</t>
  </si>
  <si>
    <t>27/9/24</t>
  </si>
  <si>
    <t>16/9/24</t>
  </si>
  <si>
    <t>26/7/24</t>
  </si>
  <si>
    <t>14/10/24, 9/1/25,14/1/25</t>
  </si>
  <si>
    <t>insuficient fund, dated</t>
  </si>
  <si>
    <t>21/1/25,27/1/25,30/1/25</t>
  </si>
  <si>
    <t>insuficient fund</t>
  </si>
  <si>
    <t>4.GRAND PANAMARAM</t>
  </si>
  <si>
    <t>20/11/24</t>
  </si>
  <si>
    <t>22/11/24</t>
  </si>
  <si>
    <t>28/3/25</t>
  </si>
  <si>
    <t>16/4/25</t>
  </si>
  <si>
    <t>26/5/25</t>
  </si>
  <si>
    <t>5. PG DEVERKOVIL</t>
  </si>
  <si>
    <t>28/8/24</t>
  </si>
  <si>
    <t>24/12/24</t>
  </si>
  <si>
    <t>18/6/25</t>
  </si>
  <si>
    <t>28/7/25</t>
  </si>
  <si>
    <t>14/11/25</t>
  </si>
  <si>
    <t>cleARED</t>
  </si>
  <si>
    <t>27/3/26</t>
  </si>
  <si>
    <t>6. PG KUNDUTHODE</t>
  </si>
  <si>
    <t>28/7/24</t>
  </si>
  <si>
    <t>19/9/24</t>
  </si>
  <si>
    <t>17/2/26</t>
  </si>
  <si>
    <t>7. SURYA ANNASSERY</t>
  </si>
  <si>
    <t>14/10/24,13/1/25,11/3/2025</t>
  </si>
  <si>
    <t>IN SUFICIANT FUND, dated</t>
  </si>
  <si>
    <t>29/10/24, 22/1/25</t>
  </si>
  <si>
    <t>in sufficiant fund</t>
  </si>
  <si>
    <t>18/10/24</t>
  </si>
  <si>
    <t>13/11/24</t>
  </si>
  <si>
    <t>15/2/25</t>
  </si>
  <si>
    <t>21/7/25</t>
  </si>
  <si>
    <t>25/7/25</t>
  </si>
  <si>
    <t>19/11/25</t>
  </si>
  <si>
    <t>26/11/25</t>
  </si>
  <si>
    <t>17/4/26</t>
  </si>
  <si>
    <t>23/4/26</t>
  </si>
  <si>
    <t>8. CITY VYTHIRI</t>
  </si>
  <si>
    <t>30/10/25</t>
  </si>
  <si>
    <t>9. MONARCH</t>
  </si>
  <si>
    <t>15/9/24</t>
  </si>
  <si>
    <t>26/3/25</t>
  </si>
  <si>
    <t>13/6/25</t>
  </si>
  <si>
    <t>25/8/25</t>
  </si>
  <si>
    <t>16/10/25</t>
  </si>
  <si>
    <t>20/12/25</t>
  </si>
  <si>
    <t>18/02/2026</t>
  </si>
  <si>
    <t>10. STAR</t>
  </si>
  <si>
    <t>11. SOUROOPYA THAMARASSERY</t>
  </si>
  <si>
    <t>25/9/24</t>
  </si>
  <si>
    <t>15/12/24</t>
  </si>
  <si>
    <t>15/1/25</t>
  </si>
  <si>
    <t>31/3/25</t>
  </si>
  <si>
    <t>18/10/25</t>
  </si>
  <si>
    <t>28/1/26</t>
  </si>
  <si>
    <t>12. FREELAND</t>
  </si>
  <si>
    <t>21/1/25</t>
  </si>
  <si>
    <t>28/5/25</t>
  </si>
  <si>
    <t>27/8/25</t>
  </si>
  <si>
    <t>26/9/25</t>
  </si>
  <si>
    <t>17/1/26</t>
  </si>
  <si>
    <t>19/1/26</t>
  </si>
  <si>
    <t>17/3/26</t>
  </si>
  <si>
    <t>GRAND MANANTHAVADY</t>
  </si>
  <si>
    <t>13/12/24</t>
  </si>
  <si>
    <t>20/12/24</t>
  </si>
  <si>
    <t>17/01/25</t>
  </si>
  <si>
    <t>22/2/25</t>
  </si>
  <si>
    <t>15/3/25</t>
  </si>
  <si>
    <t>25/4/25</t>
  </si>
  <si>
    <t>16/5/25</t>
  </si>
  <si>
    <t>23/5/25</t>
  </si>
  <si>
    <t>14/6/25</t>
  </si>
  <si>
    <t>18/7/25</t>
  </si>
  <si>
    <t>22/8/25</t>
  </si>
  <si>
    <t>31/10/25</t>
  </si>
  <si>
    <t>13/12/25</t>
  </si>
  <si>
    <t>21/2/26</t>
  </si>
  <si>
    <t>-</t>
  </si>
  <si>
    <t>Z</t>
  </si>
  <si>
    <t>14. MARIYAN TRADING</t>
  </si>
  <si>
    <t>15. MALABAR BIGBAZAR</t>
  </si>
  <si>
    <t>DATED CHEQUE(YEAR WAS ENTERED WRONG(10/2/2024))</t>
  </si>
  <si>
    <t>25/2/25</t>
  </si>
  <si>
    <t>bounced</t>
  </si>
  <si>
    <t>insufient fund</t>
  </si>
  <si>
    <t>25/3/25</t>
  </si>
  <si>
    <t>22/4/25</t>
  </si>
  <si>
    <t>16. DE METRO</t>
  </si>
  <si>
    <t>27/2/25</t>
  </si>
  <si>
    <t>20/2/25</t>
  </si>
  <si>
    <t>24/2/25</t>
  </si>
  <si>
    <t>15/4/25</t>
  </si>
  <si>
    <t>21/4/25</t>
  </si>
  <si>
    <t>29/4/25</t>
  </si>
  <si>
    <t>19/6/25</t>
  </si>
  <si>
    <t>24/6/25</t>
  </si>
  <si>
    <t>20/8/25</t>
  </si>
  <si>
    <t>21/1/26</t>
  </si>
  <si>
    <t>29/1/26</t>
  </si>
  <si>
    <t>19/3/26</t>
  </si>
  <si>
    <t>17. ANAND CHALA</t>
  </si>
  <si>
    <t>18. POPULAR</t>
  </si>
  <si>
    <t>19. LAVANYA THAMARASSERY</t>
  </si>
  <si>
    <t>18/8/24</t>
  </si>
  <si>
    <t>22/02/26</t>
  </si>
  <si>
    <t>20. LOYAL</t>
  </si>
  <si>
    <t>21. GLOBAL MEPPAYYUR</t>
  </si>
  <si>
    <t>22. PIPE</t>
  </si>
  <si>
    <t>23. POWER GOTHAMBROAD</t>
  </si>
  <si>
    <t>24. PRIDE VENGERI</t>
  </si>
  <si>
    <t>19/8/24</t>
  </si>
  <si>
    <t>25. PRIME KAKKUR</t>
  </si>
  <si>
    <t>26. NASEER &amp; CO</t>
  </si>
  <si>
    <t>27. KADHIROOR</t>
  </si>
  <si>
    <t>27. PARAMMAL</t>
  </si>
  <si>
    <t>27/8/24</t>
  </si>
  <si>
    <t>28. GLOBAL AMBALAVAYAL</t>
  </si>
  <si>
    <t>29. GLOBAL PULPPALLY</t>
  </si>
  <si>
    <t>24/1/26</t>
  </si>
  <si>
    <t>16/3/2026</t>
  </si>
  <si>
    <t>30. OLAVATTOOR AGENCIES</t>
  </si>
  <si>
    <t>24/11/24</t>
  </si>
  <si>
    <t>31. KOYAS TRADE LINKS CHALIYAM</t>
  </si>
  <si>
    <t>29/9/25</t>
  </si>
  <si>
    <t>25/02/26</t>
  </si>
  <si>
    <t>32. KARTHIK PLUMBING AND HARDWARES</t>
  </si>
  <si>
    <t>18/2/25</t>
  </si>
  <si>
    <t>18/3/25</t>
  </si>
  <si>
    <t>23/4/25</t>
  </si>
  <si>
    <t xml:space="preserve">   14/1/2026</t>
  </si>
  <si>
    <t>33. JB CERAMICS</t>
  </si>
  <si>
    <t>17/6/25</t>
  </si>
  <si>
    <t>31/1/26</t>
  </si>
  <si>
    <t>25/2/26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</si>
  <si>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</si>
  <si>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34.FAMOUS KUTTIKATTOOR</t>
  </si>
  <si>
    <t>35. JSV STEELS</t>
  </si>
  <si>
    <t>19/4/25</t>
  </si>
  <si>
    <t>36. AL HAJAR</t>
  </si>
  <si>
    <t>18/4/25</t>
  </si>
  <si>
    <t>37.GENERAL</t>
  </si>
  <si>
    <t>25/6/25</t>
  </si>
  <si>
    <t>38.NOVA</t>
  </si>
  <si>
    <t>17/5/25</t>
  </si>
  <si>
    <t>15/9/25</t>
  </si>
  <si>
    <t>39. DREAM HOME</t>
  </si>
  <si>
    <t>24/4/25</t>
  </si>
  <si>
    <t>16/7/25</t>
  </si>
  <si>
    <t>28/8/25</t>
  </si>
  <si>
    <t>40.STAR CHEEKKILODE</t>
  </si>
  <si>
    <t>29/5/25</t>
  </si>
  <si>
    <t>41. INDIAN FEROK</t>
  </si>
  <si>
    <t>26/8/25</t>
  </si>
  <si>
    <t>6/9/25, 12/9/25</t>
  </si>
  <si>
    <t>24/9/25</t>
  </si>
  <si>
    <t>18/4/26</t>
  </si>
  <si>
    <t>28/4/26</t>
  </si>
  <si>
    <t>42. STAR KUTTYADI</t>
  </si>
  <si>
    <t>19`1`26</t>
  </si>
  <si>
    <t>43. STAR KUTTYADI</t>
  </si>
  <si>
    <t>44. 123 EMPORIUM</t>
  </si>
  <si>
    <t>16/8/25</t>
  </si>
  <si>
    <t>24/8/25</t>
  </si>
  <si>
    <t>31/8/25</t>
  </si>
  <si>
    <t>10/9/25,11/9/25</t>
  </si>
  <si>
    <t>45. EAGLOSS</t>
  </si>
  <si>
    <t>27/10/25</t>
  </si>
  <si>
    <t>25/11/25</t>
  </si>
  <si>
    <t>46.KUNNATHOOR</t>
  </si>
  <si>
    <t>47.ZOYO KOLAGAPARA</t>
  </si>
  <si>
    <t>17/9/25</t>
  </si>
  <si>
    <t>48.APPOLO</t>
  </si>
  <si>
    <t>49.PATHICKAL</t>
  </si>
  <si>
    <t>16/2/26</t>
  </si>
  <si>
    <t>50 SANITO BATHWARE</t>
  </si>
  <si>
    <t xml:space="preserve"> CLEARED </t>
  </si>
  <si>
    <t xml:space="preserve"> 27/1/26</t>
  </si>
  <si>
    <t>INSUFFICIANT FUND</t>
  </si>
  <si>
    <t>51 KT ELECTRICALS</t>
  </si>
  <si>
    <t>28/11/25, 15/1/26</t>
  </si>
  <si>
    <t>52 SMART HANDS</t>
  </si>
  <si>
    <t>TOTAL CHEQUE TO BE CLEARED</t>
  </si>
  <si>
    <t>TOTAL CHEQUES BOUNCED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</si>
</sst>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"/>
    <numFmt numFmtId="165" formatCode="m/d"/>
    <numFmt numFmtId="166" formatCode="mm/dd/yy"/>
    <numFmt numFmtId="167" formatCode="m/d/yyyy"/>
    <numFmt numFmtId="168" formatCode="m-d-yy"/>
  </numFmts>
  <fonts count="16">
    <font>
      <sz val="10.0"/>
      <color rgb="FF000000"/>
      <name val="Arial"/>
      <scheme val="minor"/>
    </font>
    <font>
      <b/>
      <sz val="29.0"/>
      <color theme="1"/>
      <name val="Arial"/>
      <scheme val="minor"/>
    </font>
    <font>
      <b/>
      <sz val="10.0"/>
      <color rgb="FF000000"/>
      <name val="&quot;Google Sans Mono&quot;"/>
    </font>
    <font>
      <b/>
      <sz val="12.0"/>
      <color rgb="FF1F1F1F"/>
      <name val="&quot;Google Sans&quot;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9.0"/>
      <color rgb="FF000000"/>
      <name val="&quot;Google Sans Mono&quot;"/>
    </font>
    <font>
      <sz val="11.0"/>
      <color rgb="FF1F1F1F"/>
      <name val="&quot;Google Sans&quot;"/>
    </font>
    <font>
      <sz val="11.0"/>
      <color rgb="FF000000"/>
      <name val="&quot;Google Sans Mono&quot;"/>
    </font>
    <font>
      <strike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theme="0"/>
      <name val="Arial"/>
      <scheme val="minor"/>
    </font>
    <font>
      <b/>
      <sz val="14.0"/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80000"/>
        <bgColor rgb="FF9800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2" fontId="3" numFmtId="0" xfId="0" applyAlignment="1" applyFont="1">
      <alignment horizontal="center"/>
    </xf>
    <xf borderId="0" fillId="3" fontId="4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Font="1"/>
    <xf borderId="0" fillId="0" fontId="7" numFmtId="0" xfId="0" applyAlignment="1" applyFont="1">
      <alignment horizontal="center" readingOrder="0"/>
    </xf>
    <xf borderId="0" fillId="4" fontId="8" numFmtId="0" xfId="0" applyAlignment="1" applyFill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horizontal="center" readingOrder="0"/>
    </xf>
    <xf borderId="0" fillId="2" fontId="9" numFmtId="0" xfId="0" applyFont="1"/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readingOrder="0"/>
    </xf>
    <xf borderId="0" fillId="0" fontId="7" numFmtId="165" xfId="0" applyAlignment="1" applyFont="1" applyNumberFormat="1">
      <alignment readingOrder="0"/>
    </xf>
    <xf borderId="0" fillId="0" fontId="7" numFmtId="166" xfId="0" applyAlignment="1" applyFont="1" applyNumberFormat="1">
      <alignment readingOrder="0"/>
    </xf>
    <xf borderId="0" fillId="0" fontId="7" numFmtId="167" xfId="0" applyAlignment="1" applyFont="1" applyNumberFormat="1">
      <alignment readingOrder="0"/>
    </xf>
    <xf borderId="0" fillId="2" fontId="9" numFmtId="0" xfId="0" applyAlignment="1" applyFont="1">
      <alignment readingOrder="0"/>
    </xf>
    <xf borderId="0" fillId="2" fontId="10" numFmtId="0" xfId="0" applyFont="1"/>
    <xf borderId="0" fillId="2" fontId="11" numFmtId="0" xfId="0" applyFont="1"/>
    <xf borderId="0" fillId="0" fontId="7" numFmtId="164" xfId="0" applyAlignment="1" applyFont="1" applyNumberFormat="1">
      <alignment horizontal="left" readingOrder="0"/>
    </xf>
    <xf borderId="0" fillId="0" fontId="7" numFmtId="0" xfId="0" applyFont="1"/>
    <xf borderId="0" fillId="0" fontId="12" numFmtId="16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7" numFmtId="164" xfId="0" applyAlignment="1" applyFont="1" applyNumberFormat="1">
      <alignment horizontal="right" readingOrder="0"/>
    </xf>
    <xf borderId="0" fillId="0" fontId="7" numFmtId="168" xfId="0" applyAlignment="1" applyFont="1" applyNumberFormat="1">
      <alignment readingOrder="0"/>
    </xf>
    <xf borderId="0" fillId="5" fontId="7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6" fontId="13" numFmtId="0" xfId="0" applyAlignment="1" applyFont="1">
      <alignment readingOrder="0"/>
    </xf>
    <xf borderId="0" fillId="6" fontId="14" numFmtId="0" xfId="0" applyFont="1"/>
    <xf borderId="0" fillId="7" fontId="13" numFmtId="0" xfId="0" applyAlignment="1" applyFill="1" applyFont="1">
      <alignment readingOrder="0"/>
    </xf>
    <xf borderId="0" fillId="7" fontId="15" numFmtId="0" xfId="0" applyFont="1"/>
  </cellXfs>
  <cellStyles count="1">
    <cellStyle xfId="0" name="Normal" builtinId="0"/>
  </cellStyles>
  <dxfs count="2"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3.13"/>
    <col customWidth="1" min="8" max="8" width="8.38"/>
    <col customWidth="1" min="9" max="9" width="30.25"/>
  </cols>
  <sheetData>
    <row r="1" ht="41.25" customHeight="1">
      <c r="A1" s="1"/>
      <c r="I1" s="2" t="s">
        <v>0</v>
      </c>
      <c r="J1" s="3">
        <f>SUMIF(D1:D1000,"&lt;&gt;CLEARED",C1:C1000)</f>
        <v>1081290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  <c r="I2" s="5" t="s">
        <v>6</v>
      </c>
      <c r="J2" s="6">
        <f>SUMIF(E5:E1000,"&lt;&gt;BOUNCED",E4:E1000)</f>
        <v>0</v>
      </c>
    </row>
    <row r="3">
      <c r="D3" s="4" t="s">
        <v>7</v>
      </c>
      <c r="E3" s="4" t="s">
        <v>8</v>
      </c>
    </row>
    <row r="4">
      <c r="A4" s="7" t="s">
        <v>9</v>
      </c>
      <c r="B4" s="7">
        <v>2888.0</v>
      </c>
      <c r="C4" s="7">
        <v>14400.0</v>
      </c>
      <c r="D4" s="8" t="s">
        <v>7</v>
      </c>
      <c r="E4" s="9"/>
      <c r="F4" s="9"/>
    </row>
    <row r="5">
      <c r="A5" s="7" t="s">
        <v>10</v>
      </c>
      <c r="B5" s="7">
        <v>2837.0</v>
      </c>
      <c r="C5" s="7">
        <v>19000.0</v>
      </c>
      <c r="D5" s="7" t="s">
        <v>7</v>
      </c>
      <c r="E5" s="9"/>
      <c r="F5" s="9"/>
    </row>
    <row r="6">
      <c r="A6" s="7" t="s">
        <v>11</v>
      </c>
      <c r="B6" s="7">
        <v>2838.0</v>
      </c>
      <c r="C6" s="7">
        <v>19000.0</v>
      </c>
      <c r="D6" s="7" t="s">
        <v>7</v>
      </c>
      <c r="E6" s="9"/>
      <c r="F6" s="9"/>
    </row>
    <row r="7">
      <c r="A7" s="10">
        <v>45515.0</v>
      </c>
      <c r="B7" s="7">
        <v>2839.0</v>
      </c>
      <c r="C7" s="7">
        <v>19000.0</v>
      </c>
      <c r="D7" s="7" t="s">
        <v>7</v>
      </c>
      <c r="E7" s="9"/>
      <c r="F7" s="9"/>
    </row>
    <row r="8">
      <c r="A8" s="7" t="s">
        <v>12</v>
      </c>
      <c r="B8" s="7">
        <v>2840.0</v>
      </c>
      <c r="C8" s="7">
        <v>11029.0</v>
      </c>
      <c r="D8" s="7" t="s">
        <v>7</v>
      </c>
      <c r="E8" s="9"/>
      <c r="F8" s="9"/>
    </row>
    <row r="9">
      <c r="A9" s="7" t="s">
        <v>13</v>
      </c>
      <c r="B9" s="7">
        <v>2889.0</v>
      </c>
      <c r="C9" s="7">
        <v>19000.0</v>
      </c>
      <c r="D9" s="7" t="s">
        <v>7</v>
      </c>
      <c r="E9" s="9"/>
      <c r="F9" s="9"/>
    </row>
    <row r="10">
      <c r="A10" s="7" t="s">
        <v>14</v>
      </c>
      <c r="B10" s="7">
        <v>2890.0</v>
      </c>
      <c r="C10" s="7">
        <v>7400.0</v>
      </c>
      <c r="D10" s="7" t="s">
        <v>7</v>
      </c>
      <c r="E10" s="9"/>
      <c r="F10" s="9"/>
    </row>
    <row r="11">
      <c r="A11" s="7" t="s">
        <v>15</v>
      </c>
      <c r="B11" s="7">
        <v>2891.0</v>
      </c>
      <c r="C11" s="7">
        <v>19000.0</v>
      </c>
      <c r="D11" s="7" t="s">
        <v>7</v>
      </c>
      <c r="E11" s="9"/>
      <c r="F11" s="9"/>
    </row>
    <row r="12">
      <c r="A12" s="10">
        <v>45547.0</v>
      </c>
      <c r="B12" s="7">
        <v>2892.0</v>
      </c>
      <c r="C12" s="7">
        <v>19000.0</v>
      </c>
      <c r="D12" s="7" t="s">
        <v>7</v>
      </c>
      <c r="E12" s="9"/>
      <c r="F12" s="11"/>
    </row>
    <row r="13">
      <c r="A13" s="7" t="s">
        <v>16</v>
      </c>
      <c r="B13" s="7">
        <v>2893.0</v>
      </c>
      <c r="C13" s="7">
        <v>8141.0</v>
      </c>
      <c r="D13" s="7" t="s">
        <v>7</v>
      </c>
      <c r="E13" s="9"/>
      <c r="F13" s="9"/>
    </row>
    <row r="14">
      <c r="A14" s="10">
        <v>45546.0</v>
      </c>
      <c r="B14" s="7">
        <v>2907.0</v>
      </c>
      <c r="C14" s="7">
        <v>8800.0</v>
      </c>
      <c r="D14" s="7" t="s">
        <v>7</v>
      </c>
      <c r="E14" s="9"/>
      <c r="F14" s="9"/>
    </row>
    <row r="15">
      <c r="A15" s="10">
        <v>45333.0</v>
      </c>
      <c r="B15" s="7">
        <v>2906.0</v>
      </c>
      <c r="C15" s="7">
        <v>7200.0</v>
      </c>
      <c r="D15" s="7" t="s">
        <v>7</v>
      </c>
      <c r="E15" s="9"/>
      <c r="F15" s="9"/>
    </row>
    <row r="16">
      <c r="A16" s="10">
        <v>45576.0</v>
      </c>
      <c r="B16" s="7">
        <v>2954.0</v>
      </c>
      <c r="C16" s="7">
        <v>7200.0</v>
      </c>
      <c r="D16" s="12" t="s">
        <v>7</v>
      </c>
    </row>
    <row r="17">
      <c r="A17" s="10">
        <v>45607.0</v>
      </c>
      <c r="B17" s="7">
        <v>2955.0</v>
      </c>
      <c r="C17" s="7">
        <v>7600.0</v>
      </c>
      <c r="D17" s="12" t="s">
        <v>7</v>
      </c>
    </row>
    <row r="18">
      <c r="A18" s="7" t="s">
        <v>17</v>
      </c>
      <c r="B18" s="7">
        <v>2956.0</v>
      </c>
      <c r="C18" s="7">
        <v>10000.0</v>
      </c>
      <c r="D18" s="12" t="s">
        <v>7</v>
      </c>
    </row>
    <row r="19">
      <c r="A19" s="10">
        <v>45931.0</v>
      </c>
      <c r="B19" s="7">
        <v>2957.0</v>
      </c>
      <c r="C19" s="7">
        <v>12461.0</v>
      </c>
      <c r="D19" s="12" t="s">
        <v>7</v>
      </c>
    </row>
    <row r="20">
      <c r="A20" s="12" t="s">
        <v>18</v>
      </c>
      <c r="B20" s="12">
        <v>2968.0</v>
      </c>
      <c r="C20" s="12">
        <v>19000.0</v>
      </c>
      <c r="D20" s="12" t="s">
        <v>7</v>
      </c>
    </row>
    <row r="21">
      <c r="A21" s="12" t="s">
        <v>19</v>
      </c>
      <c r="B21" s="12">
        <v>2969.0</v>
      </c>
      <c r="C21" s="12">
        <v>24200.0</v>
      </c>
      <c r="D21" s="12" t="s">
        <v>7</v>
      </c>
    </row>
    <row r="22">
      <c r="A22" s="12" t="s">
        <v>20</v>
      </c>
      <c r="B22" s="12">
        <v>2973.0</v>
      </c>
      <c r="C22" s="12">
        <v>28800.0</v>
      </c>
      <c r="D22" s="12" t="s">
        <v>7</v>
      </c>
    </row>
    <row r="23">
      <c r="A23" s="13">
        <v>45485.0</v>
      </c>
      <c r="B23" s="12">
        <v>3033.0</v>
      </c>
      <c r="C23" s="12">
        <v>18000.0</v>
      </c>
      <c r="D23" s="12" t="s">
        <v>7</v>
      </c>
    </row>
    <row r="24">
      <c r="A24" s="12" t="s">
        <v>21</v>
      </c>
      <c r="B24" s="12">
        <v>3043.0</v>
      </c>
      <c r="C24" s="12">
        <v>15000.0</v>
      </c>
      <c r="D24" s="12" t="s">
        <v>7</v>
      </c>
    </row>
    <row r="25">
      <c r="A25" s="13">
        <v>45964.0</v>
      </c>
      <c r="B25" s="12">
        <v>3044.0</v>
      </c>
      <c r="C25" s="12">
        <v>19000.0</v>
      </c>
      <c r="D25" s="12" t="s">
        <v>7</v>
      </c>
    </row>
    <row r="26">
      <c r="A26" s="12" t="s">
        <v>22</v>
      </c>
      <c r="B26" s="12">
        <v>3045.0</v>
      </c>
      <c r="C26" s="12">
        <v>16290.0</v>
      </c>
      <c r="D26" s="12" t="s">
        <v>7</v>
      </c>
    </row>
    <row r="27">
      <c r="A27" s="12" t="s">
        <v>23</v>
      </c>
      <c r="B27" s="12">
        <v>3046.0</v>
      </c>
      <c r="C27" s="12">
        <v>19000.0</v>
      </c>
      <c r="D27" s="12" t="s">
        <v>7</v>
      </c>
    </row>
    <row r="28">
      <c r="A28" s="13">
        <v>45809.0</v>
      </c>
      <c r="B28" s="12">
        <v>3047.0</v>
      </c>
      <c r="C28" s="12">
        <v>21600.0</v>
      </c>
      <c r="D28" s="12" t="s">
        <v>7</v>
      </c>
    </row>
    <row r="29">
      <c r="A29" s="13">
        <v>45717.0</v>
      </c>
      <c r="B29" s="12">
        <v>3042.0</v>
      </c>
      <c r="C29" s="12">
        <v>18000.0</v>
      </c>
      <c r="D29" s="12" t="s">
        <v>7</v>
      </c>
    </row>
    <row r="30">
      <c r="A30" s="13">
        <v>45962.0</v>
      </c>
      <c r="B30" s="12">
        <v>3151.0</v>
      </c>
      <c r="C30" s="12">
        <v>30000.0</v>
      </c>
      <c r="D30" s="12" t="s">
        <v>7</v>
      </c>
    </row>
    <row r="31">
      <c r="A31" s="12" t="s">
        <v>24</v>
      </c>
      <c r="B31" s="12">
        <v>3152.0</v>
      </c>
      <c r="C31" s="12">
        <v>30000.0</v>
      </c>
      <c r="D31" s="12" t="s">
        <v>7</v>
      </c>
    </row>
    <row r="32">
      <c r="A32" s="12" t="s">
        <v>25</v>
      </c>
      <c r="B32" s="12">
        <v>3153.0</v>
      </c>
      <c r="C32" s="12">
        <v>30000.0</v>
      </c>
      <c r="D32" s="12" t="s">
        <v>7</v>
      </c>
    </row>
    <row r="33">
      <c r="A33" s="13">
        <v>45659.0</v>
      </c>
      <c r="B33" s="12">
        <v>3154.0</v>
      </c>
      <c r="C33" s="12">
        <v>30000.0</v>
      </c>
      <c r="D33" s="12" t="s">
        <v>7</v>
      </c>
    </row>
    <row r="34">
      <c r="A34" s="13">
        <v>45871.0</v>
      </c>
      <c r="B34" s="12">
        <v>3155.0</v>
      </c>
      <c r="C34" s="12">
        <v>39830.0</v>
      </c>
      <c r="D34" s="12" t="s">
        <v>7</v>
      </c>
    </row>
    <row r="35">
      <c r="A35" s="12" t="s">
        <v>26</v>
      </c>
      <c r="B35" s="12">
        <v>3156.0</v>
      </c>
      <c r="C35" s="12">
        <v>19000.0</v>
      </c>
      <c r="D35" s="12" t="s">
        <v>27</v>
      </c>
    </row>
    <row r="36">
      <c r="A36" s="13">
        <v>45934.0</v>
      </c>
      <c r="B36" s="12">
        <v>3157.0</v>
      </c>
      <c r="C36" s="12">
        <v>19000.0</v>
      </c>
      <c r="D36" s="12" t="s">
        <v>27</v>
      </c>
      <c r="E36" s="12" t="s">
        <v>8</v>
      </c>
    </row>
    <row r="37">
      <c r="A37" s="12" t="s">
        <v>28</v>
      </c>
      <c r="B37" s="12">
        <v>3158.0</v>
      </c>
      <c r="C37" s="12">
        <v>14616.0</v>
      </c>
      <c r="D37" s="12" t="s">
        <v>7</v>
      </c>
    </row>
    <row r="38">
      <c r="A38" s="12" t="s">
        <v>29</v>
      </c>
      <c r="B38" s="12">
        <v>3187.0</v>
      </c>
      <c r="C38" s="12">
        <v>16740.0</v>
      </c>
      <c r="D38" s="12" t="s">
        <v>7</v>
      </c>
    </row>
    <row r="39">
      <c r="A39" s="13">
        <v>45935.0</v>
      </c>
      <c r="B39" s="12">
        <v>3323.0</v>
      </c>
      <c r="C39" s="12">
        <v>19000.0</v>
      </c>
      <c r="D39" s="12" t="s">
        <v>7</v>
      </c>
    </row>
    <row r="40">
      <c r="A40" s="12" t="s">
        <v>30</v>
      </c>
      <c r="B40" s="12">
        <v>3324.0</v>
      </c>
      <c r="C40" s="12">
        <v>19000.0</v>
      </c>
      <c r="D40" s="12" t="s">
        <v>7</v>
      </c>
    </row>
    <row r="41">
      <c r="A41" s="12" t="s">
        <v>31</v>
      </c>
      <c r="B41" s="12">
        <v>3325.0</v>
      </c>
      <c r="C41" s="12">
        <v>19000.0</v>
      </c>
      <c r="D41" s="12" t="s">
        <v>7</v>
      </c>
    </row>
    <row r="42">
      <c r="A42" s="13">
        <v>45936.0</v>
      </c>
      <c r="B42" s="12">
        <v>3326.0</v>
      </c>
      <c r="C42" s="12">
        <v>19000.0</v>
      </c>
      <c r="D42" s="12" t="s">
        <v>7</v>
      </c>
      <c r="E42" s="12" t="s">
        <v>8</v>
      </c>
    </row>
    <row r="43">
      <c r="A43" s="12" t="s">
        <v>32</v>
      </c>
      <c r="B43" s="12">
        <v>3327.0</v>
      </c>
      <c r="C43" s="12">
        <v>19000.0</v>
      </c>
      <c r="D43" s="12" t="s">
        <v>7</v>
      </c>
    </row>
    <row r="44">
      <c r="A44" s="12" t="s">
        <v>33</v>
      </c>
      <c r="B44" s="12">
        <v>3328.0</v>
      </c>
      <c r="C44" s="12">
        <v>11410.0</v>
      </c>
      <c r="D44" s="12" t="s">
        <v>7</v>
      </c>
    </row>
    <row r="45">
      <c r="A45" s="13">
        <v>45664.0</v>
      </c>
      <c r="B45" s="12">
        <v>3355.0</v>
      </c>
      <c r="C45" s="12">
        <v>13601.0</v>
      </c>
      <c r="D45" s="12" t="s">
        <v>7</v>
      </c>
    </row>
    <row r="46">
      <c r="A46" s="12" t="s">
        <v>34</v>
      </c>
      <c r="B46" s="12">
        <v>3356.0</v>
      </c>
      <c r="C46" s="12">
        <v>18061.0</v>
      </c>
      <c r="D46" s="12" t="s">
        <v>7</v>
      </c>
    </row>
    <row r="47">
      <c r="A47" s="12" t="s">
        <v>35</v>
      </c>
      <c r="B47" s="12">
        <v>3357.0</v>
      </c>
      <c r="C47" s="12">
        <v>19006.0</v>
      </c>
      <c r="D47" s="12" t="s">
        <v>7</v>
      </c>
    </row>
    <row r="48">
      <c r="A48" s="13">
        <v>45908.0</v>
      </c>
      <c r="B48" s="12">
        <v>3358.0</v>
      </c>
      <c r="C48" s="12">
        <v>30000.0</v>
      </c>
      <c r="D48" s="12" t="s">
        <v>7</v>
      </c>
    </row>
    <row r="49">
      <c r="A49" s="12" t="s">
        <v>36</v>
      </c>
      <c r="B49" s="12">
        <v>3359.0</v>
      </c>
      <c r="C49" s="12">
        <v>30690.0</v>
      </c>
      <c r="D49" s="12" t="s">
        <v>7</v>
      </c>
    </row>
    <row r="50">
      <c r="A50" s="12" t="s">
        <v>37</v>
      </c>
      <c r="B50" s="12">
        <v>3360.0</v>
      </c>
      <c r="C50" s="12">
        <v>8750.0</v>
      </c>
      <c r="D50" s="12" t="s">
        <v>7</v>
      </c>
    </row>
    <row r="51">
      <c r="A51" s="13">
        <v>45909.0</v>
      </c>
      <c r="B51" s="12">
        <v>3361.0</v>
      </c>
      <c r="C51" s="12">
        <v>32900.0</v>
      </c>
      <c r="D51" s="12" t="s">
        <v>7</v>
      </c>
    </row>
    <row r="52">
      <c r="A52" s="12" t="s">
        <v>38</v>
      </c>
      <c r="B52" s="12">
        <v>3362.0</v>
      </c>
      <c r="C52" s="12">
        <v>28030.0</v>
      </c>
      <c r="D52" s="12" t="s">
        <v>7</v>
      </c>
    </row>
    <row r="53">
      <c r="A53" s="12" t="s">
        <v>39</v>
      </c>
      <c r="B53" s="12">
        <v>3363.0</v>
      </c>
      <c r="C53" s="12">
        <v>8800.0</v>
      </c>
      <c r="D53" s="12" t="s">
        <v>7</v>
      </c>
    </row>
    <row r="54">
      <c r="A54" s="12" t="s">
        <v>40</v>
      </c>
      <c r="B54" s="12">
        <v>818435.0</v>
      </c>
      <c r="C54" s="12">
        <v>18001.0</v>
      </c>
      <c r="D54" s="12" t="s">
        <v>8</v>
      </c>
    </row>
    <row r="55">
      <c r="A55" s="12" t="s">
        <v>41</v>
      </c>
      <c r="B55" s="12">
        <v>3718.0</v>
      </c>
      <c r="C55" s="12">
        <v>50000.0</v>
      </c>
      <c r="D55" s="12" t="s">
        <v>42</v>
      </c>
    </row>
    <row r="56">
      <c r="A56" s="12" t="s">
        <v>33</v>
      </c>
      <c r="B56" s="12">
        <v>3719.0</v>
      </c>
      <c r="C56" s="12">
        <v>50000.0</v>
      </c>
      <c r="D56" s="12" t="s">
        <v>42</v>
      </c>
    </row>
    <row r="57">
      <c r="A57" s="13">
        <v>45968.0</v>
      </c>
      <c r="B57" s="12">
        <v>3720.0</v>
      </c>
      <c r="C57" s="12">
        <v>60000.0</v>
      </c>
      <c r="D57" s="12" t="s">
        <v>42</v>
      </c>
    </row>
    <row r="58">
      <c r="A58" s="13">
        <v>45848.0</v>
      </c>
      <c r="B58" s="12">
        <v>3721.0</v>
      </c>
      <c r="C58" s="12">
        <v>29000.0</v>
      </c>
      <c r="D58" s="12" t="s">
        <v>42</v>
      </c>
      <c r="E58" s="12" t="s">
        <v>8</v>
      </c>
    </row>
    <row r="59">
      <c r="A59" s="12" t="s">
        <v>43</v>
      </c>
      <c r="B59" s="12">
        <v>3722.0</v>
      </c>
      <c r="C59" s="12">
        <v>29000.0</v>
      </c>
      <c r="E59" s="12" t="s">
        <v>8</v>
      </c>
    </row>
    <row r="60">
      <c r="A60" s="12" t="s">
        <v>44</v>
      </c>
      <c r="B60" s="12">
        <v>3723.0</v>
      </c>
      <c r="C60" s="12">
        <v>29000.0</v>
      </c>
    </row>
    <row r="61">
      <c r="A61" s="12" t="s">
        <v>45</v>
      </c>
      <c r="B61" s="12">
        <v>3724.0</v>
      </c>
      <c r="C61" s="12">
        <v>29000.0</v>
      </c>
    </row>
    <row r="62">
      <c r="A62" s="13">
        <v>45819.0</v>
      </c>
      <c r="B62" s="12">
        <v>3725.0</v>
      </c>
      <c r="C62" s="12">
        <v>29000.0</v>
      </c>
      <c r="D62" s="12" t="s">
        <v>46</v>
      </c>
    </row>
    <row r="63">
      <c r="A63" s="12" t="s">
        <v>47</v>
      </c>
      <c r="B63" s="12">
        <v>3726.0</v>
      </c>
      <c r="C63" s="12">
        <v>29000.0</v>
      </c>
      <c r="D63" s="12" t="s">
        <v>46</v>
      </c>
    </row>
    <row r="64">
      <c r="A64" s="12" t="s">
        <v>48</v>
      </c>
      <c r="B64" s="12">
        <v>3727.0</v>
      </c>
      <c r="C64" s="12">
        <v>29000.0</v>
      </c>
      <c r="D64" s="12" t="s">
        <v>46</v>
      </c>
    </row>
    <row r="65">
      <c r="A65" s="12" t="s">
        <v>49</v>
      </c>
      <c r="B65" s="12">
        <v>3728.0</v>
      </c>
      <c r="C65" s="12">
        <v>29000.0</v>
      </c>
    </row>
    <row r="66">
      <c r="A66" s="13">
        <v>45789.0</v>
      </c>
      <c r="B66" s="12">
        <v>3729.0</v>
      </c>
      <c r="C66" s="12">
        <v>29000.0</v>
      </c>
    </row>
    <row r="67">
      <c r="A67" s="13">
        <v>46003.0</v>
      </c>
      <c r="B67" s="12">
        <v>3730.0</v>
      </c>
      <c r="C67" s="12">
        <v>29000.0</v>
      </c>
    </row>
    <row r="68">
      <c r="A68" s="12" t="s">
        <v>50</v>
      </c>
      <c r="B68" s="12">
        <v>3731.0</v>
      </c>
      <c r="C68" s="12">
        <v>40000.0</v>
      </c>
    </row>
    <row r="69">
      <c r="A69" s="12" t="s">
        <v>51</v>
      </c>
      <c r="B69" s="12">
        <v>3732.0</v>
      </c>
      <c r="C69" s="12">
        <v>40210.0</v>
      </c>
      <c r="D69" s="12" t="s">
        <v>42</v>
      </c>
    </row>
    <row r="70">
      <c r="A70" s="12" t="s">
        <v>52</v>
      </c>
      <c r="B70" s="12">
        <v>935177.0</v>
      </c>
      <c r="C70" s="12">
        <v>18001.0</v>
      </c>
      <c r="D70" s="12" t="s">
        <v>53</v>
      </c>
    </row>
    <row r="71">
      <c r="A71" s="12" t="s">
        <v>37</v>
      </c>
      <c r="B71" s="12">
        <v>935178.0</v>
      </c>
      <c r="C71" s="12">
        <v>9801.0</v>
      </c>
      <c r="D71" s="12" t="s">
        <v>53</v>
      </c>
    </row>
    <row r="72">
      <c r="A72" s="13">
        <v>45697.0</v>
      </c>
      <c r="B72" s="12">
        <v>935179.0</v>
      </c>
      <c r="C72" s="12">
        <v>17431.0</v>
      </c>
      <c r="D72" s="12" t="s">
        <v>42</v>
      </c>
    </row>
    <row r="73">
      <c r="A73" s="14">
        <v>45970.0</v>
      </c>
      <c r="B73" s="12">
        <v>935180.0</v>
      </c>
      <c r="C73" s="12">
        <v>19150.0</v>
      </c>
      <c r="D73" s="12" t="s">
        <v>42</v>
      </c>
    </row>
    <row r="74">
      <c r="A74" s="12" t="s">
        <v>54</v>
      </c>
      <c r="B74" s="12">
        <v>935181.0</v>
      </c>
      <c r="C74" s="12">
        <v>12801.0</v>
      </c>
      <c r="D74" s="12" t="s">
        <v>42</v>
      </c>
    </row>
    <row r="75">
      <c r="A75" s="12" t="s">
        <v>55</v>
      </c>
      <c r="B75" s="12">
        <v>935182.0</v>
      </c>
      <c r="C75" s="12">
        <v>36000.0</v>
      </c>
      <c r="D75" s="12" t="s">
        <v>42</v>
      </c>
    </row>
    <row r="76">
      <c r="A76" s="12" t="s">
        <v>56</v>
      </c>
      <c r="B76" s="12">
        <v>935183.0</v>
      </c>
      <c r="C76" s="12">
        <v>17504.0</v>
      </c>
      <c r="D76" s="12" t="s">
        <v>42</v>
      </c>
    </row>
    <row r="77">
      <c r="A77" s="14">
        <v>45848.0</v>
      </c>
      <c r="B77" s="12">
        <v>935184.0</v>
      </c>
      <c r="C77" s="12">
        <v>22361.0</v>
      </c>
      <c r="D77" s="12" t="s">
        <v>42</v>
      </c>
    </row>
    <row r="78">
      <c r="A78" s="12" t="s">
        <v>57</v>
      </c>
      <c r="B78" s="12">
        <v>935185.0</v>
      </c>
      <c r="C78" s="12">
        <v>18900.0</v>
      </c>
      <c r="D78" s="12" t="s">
        <v>42</v>
      </c>
    </row>
    <row r="79">
      <c r="A79" s="12" t="s">
        <v>58</v>
      </c>
      <c r="B79" s="12">
        <v>935186.0</v>
      </c>
      <c r="C79" s="12">
        <v>5441.0</v>
      </c>
      <c r="D79" s="12" t="s">
        <v>42</v>
      </c>
    </row>
    <row r="80">
      <c r="A80" s="12" t="s">
        <v>59</v>
      </c>
      <c r="B80" s="12">
        <v>935187.0</v>
      </c>
      <c r="C80" s="12">
        <v>32160.0</v>
      </c>
      <c r="D80" s="12" t="s">
        <v>42</v>
      </c>
    </row>
    <row r="81">
      <c r="A81" s="12" t="s">
        <v>60</v>
      </c>
      <c r="B81" s="12">
        <v>935188.0</v>
      </c>
      <c r="C81" s="12">
        <v>3510.0</v>
      </c>
      <c r="D81" s="12" t="s">
        <v>42</v>
      </c>
    </row>
    <row r="82">
      <c r="A82" s="14">
        <v>45941.0</v>
      </c>
      <c r="B82" s="12">
        <v>935189.0</v>
      </c>
      <c r="C82" s="12">
        <v>36000.0</v>
      </c>
      <c r="D82" s="12" t="s">
        <v>42</v>
      </c>
    </row>
    <row r="83">
      <c r="A83" s="12" t="s">
        <v>61</v>
      </c>
      <c r="B83" s="12">
        <v>935190.0</v>
      </c>
      <c r="C83" s="12">
        <v>12101.0</v>
      </c>
      <c r="D83" s="12" t="s">
        <v>42</v>
      </c>
    </row>
    <row r="84">
      <c r="A84" s="12" t="s">
        <v>62</v>
      </c>
      <c r="B84" s="12">
        <v>935191.0</v>
      </c>
      <c r="C84" s="12">
        <v>29401.0</v>
      </c>
    </row>
    <row r="85">
      <c r="A85" s="14">
        <v>45789.0</v>
      </c>
      <c r="B85" s="12">
        <v>935192.0</v>
      </c>
      <c r="C85" s="12">
        <v>13701.0</v>
      </c>
    </row>
    <row r="86">
      <c r="A86" s="14">
        <v>46003.0</v>
      </c>
      <c r="B86" s="12">
        <v>935193.0</v>
      </c>
      <c r="C86" s="12">
        <v>13082.0</v>
      </c>
    </row>
    <row r="87">
      <c r="A87" s="12" t="s">
        <v>63</v>
      </c>
      <c r="B87" s="12">
        <v>935194.0</v>
      </c>
      <c r="C87" s="12">
        <v>16641.0</v>
      </c>
    </row>
    <row r="88">
      <c r="A88" s="12" t="s">
        <v>64</v>
      </c>
      <c r="B88" s="12">
        <v>935195.0</v>
      </c>
      <c r="C88" s="12">
        <v>22376.0</v>
      </c>
      <c r="D88" s="12" t="s">
        <v>42</v>
      </c>
    </row>
    <row r="89">
      <c r="A89" s="13">
        <v>46003.0</v>
      </c>
      <c r="B89" s="12">
        <v>4232.0</v>
      </c>
      <c r="C89" s="12">
        <v>34565.0</v>
      </c>
      <c r="D89" s="12" t="s">
        <v>42</v>
      </c>
    </row>
    <row r="90">
      <c r="A90" s="12" t="s">
        <v>65</v>
      </c>
      <c r="B90" s="12">
        <v>216292.0</v>
      </c>
      <c r="C90" s="12">
        <v>30000.0</v>
      </c>
      <c r="D90" s="12" t="s">
        <v>42</v>
      </c>
    </row>
    <row r="91">
      <c r="A91" s="15">
        <v>46236.0</v>
      </c>
      <c r="B91" s="12">
        <v>216293.0</v>
      </c>
      <c r="C91" s="12">
        <v>30000.0</v>
      </c>
      <c r="D91" s="12" t="s">
        <v>42</v>
      </c>
    </row>
    <row r="92">
      <c r="A92" s="12" t="s">
        <v>66</v>
      </c>
      <c r="B92" s="12">
        <v>216294.0</v>
      </c>
      <c r="C92" s="12">
        <v>30000.0</v>
      </c>
      <c r="D92" s="12" t="s">
        <v>42</v>
      </c>
    </row>
    <row r="93">
      <c r="A93" s="12" t="s">
        <v>67</v>
      </c>
      <c r="B93" s="12">
        <v>216295.0</v>
      </c>
      <c r="C93" s="12">
        <v>30000.0</v>
      </c>
      <c r="E93" s="12" t="s">
        <v>68</v>
      </c>
    </row>
    <row r="94">
      <c r="A94" s="12" t="s">
        <v>69</v>
      </c>
      <c r="B94" s="12">
        <v>216296.0</v>
      </c>
      <c r="C94" s="12">
        <v>30000.0</v>
      </c>
      <c r="D94" s="12" t="s">
        <v>42</v>
      </c>
    </row>
    <row r="95">
      <c r="A95" s="13">
        <v>46206.0</v>
      </c>
      <c r="B95" s="12">
        <v>216297.0</v>
      </c>
      <c r="C95" s="12">
        <v>30000.0</v>
      </c>
      <c r="D95" s="12" t="s">
        <v>7</v>
      </c>
    </row>
    <row r="96">
      <c r="A96" s="12" t="s">
        <v>70</v>
      </c>
      <c r="B96" s="12">
        <v>216298.0</v>
      </c>
      <c r="C96" s="12">
        <v>30000.0</v>
      </c>
    </row>
    <row r="97">
      <c r="A97" s="12" t="s">
        <v>71</v>
      </c>
      <c r="B97" s="12">
        <v>216299.0</v>
      </c>
      <c r="C97" s="12">
        <v>30000.0</v>
      </c>
    </row>
    <row r="98">
      <c r="A98" s="12" t="s">
        <v>72</v>
      </c>
      <c r="B98" s="12">
        <v>216301.0</v>
      </c>
      <c r="C98" s="12">
        <v>20037.0</v>
      </c>
    </row>
    <row r="99">
      <c r="A99" s="12" t="s">
        <v>73</v>
      </c>
      <c r="B99" s="12">
        <v>216290.0</v>
      </c>
      <c r="C99" s="12">
        <v>30000.0</v>
      </c>
      <c r="D99" s="12" t="s">
        <v>42</v>
      </c>
    </row>
    <row r="100">
      <c r="A100" s="12" t="s">
        <v>74</v>
      </c>
      <c r="B100" s="12">
        <v>216291.0</v>
      </c>
      <c r="C100" s="12">
        <v>30000.0</v>
      </c>
      <c r="D100" s="12" t="s">
        <v>42</v>
      </c>
    </row>
    <row r="101">
      <c r="A101" s="13">
        <v>46207.0</v>
      </c>
      <c r="B101" s="12">
        <v>216302.0</v>
      </c>
      <c r="C101" s="12">
        <v>30000.0</v>
      </c>
    </row>
    <row r="102">
      <c r="A102" s="12" t="s">
        <v>75</v>
      </c>
      <c r="B102" s="12">
        <v>216303.0</v>
      </c>
      <c r="C102" s="12">
        <v>30000.0</v>
      </c>
    </row>
    <row r="103">
      <c r="A103" s="12" t="s">
        <v>76</v>
      </c>
      <c r="B103" s="12">
        <v>216305.0</v>
      </c>
      <c r="C103" s="12">
        <v>33404.0</v>
      </c>
    </row>
    <row r="104">
      <c r="A104" s="12" t="s">
        <v>77</v>
      </c>
      <c r="B104" s="12">
        <v>216304.0</v>
      </c>
      <c r="C104" s="12">
        <v>30000.0</v>
      </c>
    </row>
    <row r="105">
      <c r="A105" s="13">
        <v>46208.0</v>
      </c>
      <c r="B105" s="12">
        <v>216306.0</v>
      </c>
      <c r="C105" s="12">
        <v>35000.0</v>
      </c>
    </row>
    <row r="106">
      <c r="A106" s="12" t="s">
        <v>78</v>
      </c>
      <c r="B106" s="12">
        <v>216307.0</v>
      </c>
      <c r="C106" s="12">
        <v>35000.0</v>
      </c>
    </row>
    <row r="107">
      <c r="A107" s="12" t="s">
        <v>79</v>
      </c>
      <c r="B107" s="12">
        <v>216308.0</v>
      </c>
      <c r="C107" s="12">
        <v>35000.0</v>
      </c>
    </row>
    <row r="108">
      <c r="A108" s="12" t="s">
        <v>80</v>
      </c>
      <c r="B108" s="12">
        <v>216309.0</v>
      </c>
      <c r="C108" s="12">
        <v>35000.0</v>
      </c>
    </row>
    <row r="109">
      <c r="A109" s="13">
        <v>46240.0</v>
      </c>
      <c r="B109" s="12">
        <v>216310.0</v>
      </c>
      <c r="C109" s="12">
        <v>35000.0</v>
      </c>
    </row>
    <row r="110">
      <c r="A110" s="12" t="s">
        <v>81</v>
      </c>
      <c r="B110" s="12">
        <v>216311.0</v>
      </c>
      <c r="C110" s="12">
        <v>20000.0</v>
      </c>
    </row>
    <row r="111">
      <c r="A111" s="12" t="s">
        <v>82</v>
      </c>
      <c r="B111" s="12">
        <v>216312.0</v>
      </c>
      <c r="C111" s="12">
        <v>19119.0</v>
      </c>
    </row>
    <row r="112">
      <c r="A112" s="12" t="s">
        <v>83</v>
      </c>
      <c r="B112" s="12">
        <v>216313.0</v>
      </c>
      <c r="C112" s="12">
        <v>30000.0</v>
      </c>
    </row>
    <row r="113">
      <c r="A113" s="16">
        <v>46210.0</v>
      </c>
      <c r="B113" s="12">
        <v>216314.0</v>
      </c>
      <c r="C113" s="12">
        <v>30000.0</v>
      </c>
    </row>
    <row r="114">
      <c r="A114" s="12" t="s">
        <v>84</v>
      </c>
      <c r="B114" s="12">
        <v>216315.0</v>
      </c>
      <c r="C114" s="12">
        <v>30000.0</v>
      </c>
    </row>
    <row r="115">
      <c r="A115" s="12" t="s">
        <v>85</v>
      </c>
      <c r="B115" s="12">
        <v>216316.0</v>
      </c>
      <c r="C115" s="12">
        <v>30000.0</v>
      </c>
    </row>
    <row r="116">
      <c r="A116" s="12" t="s">
        <v>86</v>
      </c>
      <c r="B116" s="12">
        <v>216317.0</v>
      </c>
      <c r="C116" s="12">
        <v>30000.0</v>
      </c>
    </row>
    <row r="117">
      <c r="A117" s="13">
        <v>46211.0</v>
      </c>
      <c r="B117" s="12">
        <v>216318.0</v>
      </c>
      <c r="C117" s="12">
        <v>26102.0</v>
      </c>
    </row>
    <row r="122">
      <c r="D122" s="12" t="s">
        <v>87</v>
      </c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">
      <formula>NOT(ISERROR(SEARCH(("clear"),(A4))))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  <col customWidth="1" min="9" max="9" width="34.25"/>
  </cols>
  <sheetData>
    <row r="1" ht="41.25" customHeight="1">
      <c r="A1" s="1" t="s">
        <v>88</v>
      </c>
      <c r="I1" s="2" t="s">
        <v>0</v>
      </c>
      <c r="J1" s="3">
        <f>SUMIF(D1:D1000,"&lt;&gt;CLEARED",C1:C1000)</f>
        <v>52938</v>
      </c>
      <c r="K1" s="2"/>
      <c r="L1" s="3"/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  <c r="I2" s="5" t="s">
        <v>6</v>
      </c>
      <c r="J2" s="6">
        <f>SUMIF(E5:E1000,"BOUNCED",E4:E1000)</f>
        <v>0</v>
      </c>
      <c r="K2" s="5"/>
      <c r="L2" s="6"/>
    </row>
    <row r="3">
      <c r="D3" s="4" t="s">
        <v>7</v>
      </c>
      <c r="E3" s="4" t="s">
        <v>8</v>
      </c>
      <c r="I3" s="5"/>
      <c r="J3" s="6"/>
    </row>
    <row r="4">
      <c r="A4" s="7" t="s">
        <v>89</v>
      </c>
      <c r="B4" s="7">
        <v>20025.0</v>
      </c>
      <c r="C4" s="7">
        <v>10331.0</v>
      </c>
      <c r="D4" s="7" t="s">
        <v>90</v>
      </c>
      <c r="E4" s="9"/>
      <c r="F4" s="9"/>
    </row>
    <row r="5">
      <c r="A5" s="7" t="s">
        <v>91</v>
      </c>
      <c r="B5" s="7">
        <v>20026.0</v>
      </c>
      <c r="C5" s="7">
        <v>10350.0</v>
      </c>
      <c r="D5" s="7" t="s">
        <v>90</v>
      </c>
      <c r="E5" s="9"/>
      <c r="F5" s="9"/>
    </row>
    <row r="6">
      <c r="A6" s="7" t="s">
        <v>92</v>
      </c>
      <c r="B6" s="7">
        <v>20027.0</v>
      </c>
      <c r="C6" s="7">
        <v>10791.0</v>
      </c>
      <c r="D6" s="7" t="s">
        <v>90</v>
      </c>
      <c r="E6" s="8" t="s">
        <v>8</v>
      </c>
      <c r="F6" s="9"/>
    </row>
    <row r="7">
      <c r="A7" s="7" t="s">
        <v>93</v>
      </c>
      <c r="B7" s="7">
        <v>200449.0</v>
      </c>
      <c r="C7" s="7">
        <v>10584.0</v>
      </c>
      <c r="D7" s="7" t="s">
        <v>90</v>
      </c>
      <c r="E7" s="9"/>
      <c r="F7" s="9"/>
    </row>
    <row r="8">
      <c r="A8" s="9"/>
      <c r="B8" s="7">
        <v>200450.0</v>
      </c>
      <c r="C8" s="7">
        <v>10882.0</v>
      </c>
      <c r="D8" s="7" t="s">
        <v>90</v>
      </c>
      <c r="E8" s="9"/>
      <c r="F8" s="9"/>
    </row>
    <row r="9">
      <c r="A9" s="7" t="s">
        <v>94</v>
      </c>
      <c r="B9" s="7">
        <v>200451.0</v>
      </c>
      <c r="C9" s="7">
        <v>10833.0</v>
      </c>
      <c r="D9" s="7" t="s">
        <v>7</v>
      </c>
      <c r="E9" s="9"/>
      <c r="F9" s="9"/>
    </row>
    <row r="10">
      <c r="A10" s="7" t="s">
        <v>43</v>
      </c>
      <c r="B10" s="7">
        <v>200452.0</v>
      </c>
      <c r="C10" s="7">
        <v>11706.0</v>
      </c>
      <c r="D10" s="7" t="s">
        <v>7</v>
      </c>
      <c r="E10" s="9"/>
      <c r="F10" s="9"/>
    </row>
    <row r="11">
      <c r="A11" s="7" t="s">
        <v>95</v>
      </c>
      <c r="B11" s="7">
        <v>200453.0</v>
      </c>
      <c r="C11" s="7">
        <v>11455.0</v>
      </c>
      <c r="D11" s="7" t="s">
        <v>7</v>
      </c>
      <c r="E11" s="9"/>
      <c r="F11" s="9"/>
    </row>
    <row r="12">
      <c r="A12" s="7" t="s">
        <v>96</v>
      </c>
      <c r="B12" s="7">
        <v>200448.0</v>
      </c>
      <c r="C12" s="7">
        <v>9110.0</v>
      </c>
      <c r="D12" s="7" t="s">
        <v>7</v>
      </c>
      <c r="E12" s="9"/>
      <c r="F12" s="9"/>
    </row>
    <row r="13">
      <c r="A13" s="10">
        <v>45669.0</v>
      </c>
      <c r="B13" s="7">
        <v>200535.0</v>
      </c>
      <c r="C13" s="7">
        <v>10163.0</v>
      </c>
      <c r="D13" s="7" t="s">
        <v>7</v>
      </c>
      <c r="E13" s="9"/>
      <c r="F13" s="9"/>
    </row>
    <row r="14">
      <c r="A14" s="7" t="s">
        <v>65</v>
      </c>
      <c r="B14" s="7">
        <v>124510.0</v>
      </c>
      <c r="C14" s="7">
        <v>10500.0</v>
      </c>
      <c r="D14" s="7" t="s">
        <v>7</v>
      </c>
      <c r="E14" s="9"/>
      <c r="F14" s="9"/>
    </row>
    <row r="15">
      <c r="A15" s="7" t="s">
        <v>97</v>
      </c>
      <c r="B15" s="7">
        <v>124511.0</v>
      </c>
      <c r="C15" s="7">
        <v>10200.0</v>
      </c>
      <c r="D15" s="7" t="s">
        <v>7</v>
      </c>
      <c r="E15" s="9"/>
      <c r="F15" s="9"/>
    </row>
    <row r="16">
      <c r="A16" s="9"/>
      <c r="B16" s="9"/>
      <c r="C16" s="9"/>
      <c r="D16" s="9"/>
      <c r="E16" s="9"/>
      <c r="F16" s="9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0.38"/>
    <col customWidth="1" min="9" max="9" width="17.13"/>
  </cols>
  <sheetData>
    <row r="1" ht="41.25" customHeight="1">
      <c r="A1" s="1" t="s">
        <v>98</v>
      </c>
      <c r="I1" s="17" t="s">
        <v>0</v>
      </c>
      <c r="J1" s="18">
        <f>SUMIF(D1:D1000,"&lt;&gt;CLEARED",C1:C1000)</f>
        <v>40000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  <c r="I2" s="12" t="s">
        <v>99</v>
      </c>
      <c r="J2" s="19">
        <f>SUMIF(E1:E1000,"BOUNCED",C1:C1000)</f>
        <v>55000</v>
      </c>
    </row>
    <row r="3">
      <c r="D3" s="4" t="s">
        <v>7</v>
      </c>
      <c r="E3" s="4" t="s">
        <v>8</v>
      </c>
    </row>
    <row r="4">
      <c r="A4" s="12" t="s">
        <v>100</v>
      </c>
      <c r="B4" s="12">
        <v>265191.0</v>
      </c>
      <c r="C4" s="12">
        <v>15000.0</v>
      </c>
      <c r="D4" s="12" t="s">
        <v>7</v>
      </c>
      <c r="E4" s="12" t="s">
        <v>8</v>
      </c>
    </row>
    <row r="5">
      <c r="A5" s="12" t="s">
        <v>101</v>
      </c>
      <c r="B5" s="12">
        <v>265190.0</v>
      </c>
      <c r="C5" s="12">
        <v>15000.0</v>
      </c>
      <c r="D5" s="12" t="s">
        <v>7</v>
      </c>
    </row>
    <row r="6">
      <c r="A6" s="12" t="s">
        <v>102</v>
      </c>
      <c r="B6" s="12">
        <v>263838.0</v>
      </c>
      <c r="C6" s="12">
        <v>10000.0</v>
      </c>
      <c r="E6" s="12" t="s">
        <v>8</v>
      </c>
    </row>
    <row r="7">
      <c r="A7" s="12" t="s">
        <v>103</v>
      </c>
      <c r="B7" s="12">
        <v>265279.0</v>
      </c>
      <c r="C7" s="12">
        <v>20000.0</v>
      </c>
      <c r="E7" s="12" t="s">
        <v>8</v>
      </c>
      <c r="F7" s="12" t="s">
        <v>104</v>
      </c>
    </row>
    <row r="8">
      <c r="A8" s="12" t="s">
        <v>50</v>
      </c>
      <c r="B8" s="12">
        <v>267530.0</v>
      </c>
      <c r="C8" s="12">
        <v>10000.0</v>
      </c>
      <c r="D8" s="12" t="s">
        <v>7</v>
      </c>
    </row>
    <row r="9">
      <c r="A9" s="12" t="s">
        <v>105</v>
      </c>
      <c r="B9" s="12">
        <v>272840.0</v>
      </c>
      <c r="C9" s="12">
        <v>10000.0</v>
      </c>
      <c r="E9" s="12" t="s">
        <v>8</v>
      </c>
      <c r="F9" s="12" t="s">
        <v>106</v>
      </c>
    </row>
    <row r="13">
      <c r="E13" s="11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107</v>
      </c>
      <c r="I1" s="17" t="s">
        <v>0</v>
      </c>
      <c r="J1" s="18">
        <f>SUMIF(D1:D1000,"&lt;&gt;CLEARED",C1:C1000)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3">
        <v>45575.0</v>
      </c>
      <c r="B4" s="12">
        <v>44886.0</v>
      </c>
      <c r="C4" s="12">
        <v>15000.0</v>
      </c>
      <c r="D4" s="12" t="s">
        <v>7</v>
      </c>
    </row>
    <row r="5">
      <c r="A5" s="12" t="s">
        <v>108</v>
      </c>
      <c r="B5" s="12">
        <v>45018.0</v>
      </c>
      <c r="C5" s="12">
        <v>30000.0</v>
      </c>
      <c r="D5" s="12" t="s">
        <v>7</v>
      </c>
    </row>
    <row r="6">
      <c r="A6" s="12" t="s">
        <v>109</v>
      </c>
      <c r="B6" s="12">
        <v>45046.0</v>
      </c>
      <c r="C6" s="12">
        <v>35000.0</v>
      </c>
      <c r="D6" s="12" t="s">
        <v>7</v>
      </c>
    </row>
    <row r="7">
      <c r="A7" s="13">
        <v>45689.0</v>
      </c>
      <c r="B7" s="12">
        <v>48292.0</v>
      </c>
      <c r="C7" s="12">
        <v>50000.0</v>
      </c>
      <c r="D7" s="12" t="s">
        <v>7</v>
      </c>
    </row>
    <row r="8">
      <c r="A8" s="12" t="s">
        <v>96</v>
      </c>
      <c r="B8" s="12">
        <v>48408.0</v>
      </c>
      <c r="C8" s="12">
        <v>50000.0</v>
      </c>
      <c r="D8" s="12" t="s">
        <v>7</v>
      </c>
    </row>
    <row r="9">
      <c r="A9" s="13">
        <v>45718.0</v>
      </c>
      <c r="B9" s="12">
        <v>48451.0</v>
      </c>
      <c r="C9" s="12">
        <v>50079.0</v>
      </c>
      <c r="D9" s="12" t="s">
        <v>7</v>
      </c>
    </row>
    <row r="10">
      <c r="A10" s="12" t="s">
        <v>110</v>
      </c>
      <c r="B10" s="12">
        <v>48719.0</v>
      </c>
      <c r="C10" s="12">
        <v>50000.0</v>
      </c>
      <c r="D10" s="12" t="s">
        <v>7</v>
      </c>
    </row>
    <row r="11">
      <c r="A11" s="12" t="s">
        <v>111</v>
      </c>
      <c r="B11" s="12">
        <v>52619.0</v>
      </c>
      <c r="C11" s="12">
        <v>50000.0</v>
      </c>
      <c r="D11" s="12" t="s">
        <v>7</v>
      </c>
    </row>
    <row r="12">
      <c r="A12" s="12" t="s">
        <v>40</v>
      </c>
      <c r="B12" s="12">
        <v>52737.0</v>
      </c>
      <c r="C12" s="12">
        <v>40000.0</v>
      </c>
      <c r="D12" s="12" t="s">
        <v>7</v>
      </c>
    </row>
    <row r="13">
      <c r="A13" s="12" t="s">
        <v>112</v>
      </c>
      <c r="B13" s="12">
        <v>52792.0</v>
      </c>
      <c r="C13" s="12">
        <v>40000.0</v>
      </c>
      <c r="D13" s="12" t="s">
        <v>7</v>
      </c>
    </row>
    <row r="14">
      <c r="A14" s="13">
        <v>45697.0</v>
      </c>
      <c r="B14" s="12">
        <v>58377.0</v>
      </c>
      <c r="C14" s="12">
        <v>50000.0</v>
      </c>
      <c r="D14" s="12" t="s">
        <v>7</v>
      </c>
    </row>
    <row r="15">
      <c r="A15" s="13">
        <v>45940.0</v>
      </c>
      <c r="B15" s="12">
        <v>58532.0</v>
      </c>
      <c r="C15" s="12">
        <v>50000.0</v>
      </c>
      <c r="D15" s="12" t="s">
        <v>7</v>
      </c>
    </row>
    <row r="16">
      <c r="A16" s="13">
        <v>45757.0</v>
      </c>
      <c r="B16" s="12">
        <v>58531.0</v>
      </c>
      <c r="C16" s="12">
        <v>50000.0</v>
      </c>
      <c r="D16" s="12" t="s">
        <v>7</v>
      </c>
    </row>
    <row r="17">
      <c r="A17" s="13">
        <v>45992.0</v>
      </c>
      <c r="B17" s="12">
        <v>57349.0</v>
      </c>
      <c r="C17" s="12">
        <v>50000.0</v>
      </c>
      <c r="D17" s="12" t="s">
        <v>7</v>
      </c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113</v>
      </c>
      <c r="I1" s="17" t="s">
        <v>0</v>
      </c>
      <c r="J1" s="18">
        <f>SUMIF(D1:D1000,"&lt;&gt;CLEARED",C1:C1000)</f>
        <v>33000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114</v>
      </c>
      <c r="B4" s="12">
        <v>96014.0</v>
      </c>
      <c r="C4" s="12">
        <v>8000.0</v>
      </c>
      <c r="E4" s="12" t="s">
        <v>8</v>
      </c>
    </row>
    <row r="5">
      <c r="A5" s="12" t="s">
        <v>115</v>
      </c>
      <c r="B5" s="12">
        <v>6158.0</v>
      </c>
      <c r="C5" s="12">
        <v>20000.0</v>
      </c>
      <c r="D5" s="12" t="s">
        <v>7</v>
      </c>
    </row>
    <row r="6">
      <c r="A6" s="13">
        <v>45932.0</v>
      </c>
      <c r="B6" s="12">
        <v>6168.0</v>
      </c>
      <c r="C6" s="12">
        <v>10000.0</v>
      </c>
      <c r="D6" s="12" t="s">
        <v>7</v>
      </c>
    </row>
    <row r="7">
      <c r="A7" s="13">
        <v>45781.0</v>
      </c>
      <c r="B7" s="12">
        <v>6193.0</v>
      </c>
      <c r="C7" s="12">
        <v>8000.0</v>
      </c>
      <c r="D7" s="12" t="s">
        <v>7</v>
      </c>
    </row>
    <row r="8">
      <c r="A8" s="13">
        <v>45842.0</v>
      </c>
      <c r="B8" s="12">
        <v>6196.0</v>
      </c>
      <c r="C8" s="12">
        <v>8000.0</v>
      </c>
      <c r="D8" s="12" t="s">
        <v>7</v>
      </c>
    </row>
    <row r="9">
      <c r="A9" s="12" t="s">
        <v>31</v>
      </c>
      <c r="B9" s="12">
        <v>6218.0</v>
      </c>
      <c r="C9" s="12">
        <v>25000.0</v>
      </c>
      <c r="D9" s="12" t="s">
        <v>7</v>
      </c>
    </row>
    <row r="10">
      <c r="A10" s="12" t="s">
        <v>116</v>
      </c>
      <c r="B10" s="12">
        <v>6231.0</v>
      </c>
      <c r="C10" s="12">
        <v>10000.0</v>
      </c>
      <c r="D10" s="12" t="s">
        <v>7</v>
      </c>
    </row>
    <row r="11">
      <c r="A11" s="12" t="s">
        <v>117</v>
      </c>
      <c r="B11" s="12">
        <v>6248.0</v>
      </c>
      <c r="C11" s="12">
        <v>10000.0</v>
      </c>
      <c r="D11" s="12" t="s">
        <v>7</v>
      </c>
    </row>
    <row r="12">
      <c r="A12" s="12" t="s">
        <v>118</v>
      </c>
      <c r="B12" s="12">
        <v>10710.0</v>
      </c>
      <c r="C12" s="12">
        <v>10000.0</v>
      </c>
      <c r="D12" s="12" t="s">
        <v>119</v>
      </c>
    </row>
    <row r="13">
      <c r="A13" s="13">
        <v>46329.0</v>
      </c>
      <c r="B13" s="12">
        <v>10722.0</v>
      </c>
      <c r="C13" s="12">
        <v>10000.0</v>
      </c>
      <c r="E13" s="12" t="s">
        <v>8</v>
      </c>
    </row>
    <row r="14">
      <c r="A14" s="12" t="s">
        <v>120</v>
      </c>
      <c r="B14" s="12">
        <v>10723.0</v>
      </c>
      <c r="C14" s="12">
        <v>15000.0</v>
      </c>
    </row>
  </sheetData>
  <mergeCells count="6">
    <mergeCell ref="A1:H1"/>
    <mergeCell ref="A2:A3"/>
    <mergeCell ref="B2:B3"/>
    <mergeCell ref="C2:C3"/>
    <mergeCell ref="D2:E2"/>
    <mergeCell ref="F2:F3"/>
  </mergeCells>
  <conditionalFormatting sqref="A10:C10">
    <cfRule type="containsText" dxfId="0" priority="1" operator="containsText" text="cleared">
      <formula>NOT(ISERROR(SEARCH(("cleared"),(A10))))</formula>
    </cfRule>
  </conditionalFormatting>
  <conditionalFormatting sqref="A10:C10">
    <cfRule type="containsText" dxfId="1" priority="2" operator="containsText" text="bounce">
      <formula>NOT(ISERROR(SEARCH(("bounce"),(A10))))</formula>
    </cfRule>
  </conditionalFormatting>
  <conditionalFormatting sqref="A4:C9 D4:Z1001 A11:C1001">
    <cfRule type="containsText" dxfId="0" priority="3" operator="containsText" text="cleared">
      <formula>NOT(ISERROR(SEARCH(("cleared"),(A4))))</formula>
    </cfRule>
  </conditionalFormatting>
  <conditionalFormatting sqref="A4:C9 D4:Z1001 A11:C1001">
    <cfRule type="containsText" dxfId="1" priority="4" operator="containsText" text="bounce">
      <formula>NOT(ISERROR(SEARCH(("bounce"),(A4))))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121</v>
      </c>
      <c r="I1" s="17" t="s">
        <v>0</v>
      </c>
      <c r="J1" s="18">
        <f>SUMIF(D1:D1000,"&lt;&gt;CLEARED",C1:C1000)</f>
        <v>40000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122</v>
      </c>
      <c r="B4" s="12">
        <v>4708.0</v>
      </c>
      <c r="C4" s="12">
        <v>10000.0</v>
      </c>
      <c r="D4" s="12" t="s">
        <v>7</v>
      </c>
    </row>
    <row r="5">
      <c r="A5" s="20">
        <v>45574.0</v>
      </c>
      <c r="B5" s="12">
        <v>4728.0</v>
      </c>
      <c r="C5" s="12">
        <v>10000.0</v>
      </c>
      <c r="E5" s="12" t="s">
        <v>8</v>
      </c>
    </row>
    <row r="6">
      <c r="A6" s="12" t="s">
        <v>123</v>
      </c>
      <c r="B6" s="12">
        <v>4229.0</v>
      </c>
      <c r="C6" s="12">
        <v>10000.0</v>
      </c>
      <c r="E6" s="12" t="s">
        <v>8</v>
      </c>
    </row>
    <row r="7">
      <c r="A7" s="13">
        <v>45392.0</v>
      </c>
      <c r="B7" s="12">
        <v>409583.0</v>
      </c>
      <c r="C7" s="12">
        <v>5000.0</v>
      </c>
      <c r="D7" s="12" t="s">
        <v>7</v>
      </c>
    </row>
    <row r="8">
      <c r="A8" s="13">
        <v>45607.0</v>
      </c>
      <c r="B8" s="12">
        <v>6117.0</v>
      </c>
      <c r="C8" s="12">
        <v>5000.0</v>
      </c>
      <c r="D8" s="12" t="s">
        <v>7</v>
      </c>
    </row>
    <row r="9">
      <c r="A9" s="12" t="s">
        <v>45</v>
      </c>
      <c r="B9" s="12">
        <v>41444.0</v>
      </c>
      <c r="C9" s="12">
        <v>10000.0</v>
      </c>
      <c r="E9" s="12" t="s">
        <v>8</v>
      </c>
    </row>
    <row r="10">
      <c r="A10" s="12" t="s">
        <v>124</v>
      </c>
      <c r="B10" s="12">
        <v>14432.0</v>
      </c>
      <c r="C10" s="12">
        <v>10000.0</v>
      </c>
      <c r="E10" s="12" t="s">
        <v>8</v>
      </c>
    </row>
  </sheetData>
  <mergeCells count="6">
    <mergeCell ref="A1:H1"/>
    <mergeCell ref="A2:A3"/>
    <mergeCell ref="B2:B3"/>
    <mergeCell ref="C2:C3"/>
    <mergeCell ref="D2:E2"/>
    <mergeCell ref="F2:F3"/>
  </mergeCells>
  <conditionalFormatting sqref="A4:C8 D4:Z1001 A10:C1001">
    <cfRule type="containsText" dxfId="0" priority="1" operator="containsText" text="cleared">
      <formula>NOT(ISERROR(SEARCH(("cleared"),(A4))))</formula>
    </cfRule>
  </conditionalFormatting>
  <conditionalFormatting sqref="A4:C8 D4:Z1001 A10:C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125</v>
      </c>
      <c r="I1" s="17" t="s">
        <v>0</v>
      </c>
      <c r="J1" s="18">
        <f>SUMIF(D1:D1000,"&lt;&gt;CLEARED",C1:C1000)</f>
        <v>83604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126</v>
      </c>
      <c r="B4" s="12">
        <v>127368.0</v>
      </c>
      <c r="C4" s="12">
        <v>22701.0</v>
      </c>
      <c r="D4" s="12" t="s">
        <v>7</v>
      </c>
      <c r="E4" s="12" t="s">
        <v>8</v>
      </c>
      <c r="F4" s="12" t="s">
        <v>127</v>
      </c>
    </row>
    <row r="5">
      <c r="A5" s="12" t="s">
        <v>9</v>
      </c>
      <c r="B5" s="12">
        <v>127369.0</v>
      </c>
      <c r="C5" s="12">
        <v>30340.0</v>
      </c>
      <c r="D5" s="12" t="s">
        <v>7</v>
      </c>
    </row>
    <row r="6">
      <c r="A6" s="12" t="s">
        <v>10</v>
      </c>
      <c r="B6" s="12">
        <v>127370.0</v>
      </c>
      <c r="C6" s="12">
        <v>30230.0</v>
      </c>
      <c r="D6" s="12" t="s">
        <v>7</v>
      </c>
    </row>
    <row r="7">
      <c r="A7" s="12" t="s">
        <v>128</v>
      </c>
      <c r="B7" s="12">
        <v>127371.0</v>
      </c>
      <c r="C7" s="12">
        <v>30630.0</v>
      </c>
      <c r="D7" s="12" t="s">
        <v>7</v>
      </c>
      <c r="E7" s="12" t="s">
        <v>8</v>
      </c>
      <c r="F7" s="12" t="s">
        <v>129</v>
      </c>
    </row>
    <row r="8">
      <c r="A8" s="12" t="s">
        <v>130</v>
      </c>
      <c r="B8" s="12">
        <v>127474.0</v>
      </c>
      <c r="C8" s="12">
        <v>18700.0</v>
      </c>
      <c r="D8" s="12" t="s">
        <v>7</v>
      </c>
    </row>
    <row r="9">
      <c r="A9" s="12" t="s">
        <v>109</v>
      </c>
      <c r="B9" s="12">
        <v>127477.0</v>
      </c>
      <c r="C9" s="12">
        <v>29650.0</v>
      </c>
      <c r="D9" s="12" t="s">
        <v>7</v>
      </c>
    </row>
    <row r="10">
      <c r="A10" s="12" t="s">
        <v>131</v>
      </c>
      <c r="B10" s="12">
        <v>127476.0</v>
      </c>
      <c r="C10" s="12">
        <v>28400.0</v>
      </c>
      <c r="D10" s="12" t="s">
        <v>7</v>
      </c>
    </row>
    <row r="11">
      <c r="A11" s="12" t="s">
        <v>132</v>
      </c>
      <c r="B11" s="12">
        <v>134061.0</v>
      </c>
      <c r="C11" s="12">
        <v>28300.0</v>
      </c>
      <c r="D11" s="12" t="s">
        <v>7</v>
      </c>
    </row>
    <row r="12">
      <c r="A12" s="13">
        <v>45963.0</v>
      </c>
      <c r="B12" s="12">
        <v>134060.0</v>
      </c>
      <c r="C12" s="12">
        <v>29500.0</v>
      </c>
      <c r="D12" s="12" t="s">
        <v>7</v>
      </c>
    </row>
    <row r="13">
      <c r="A13" s="13">
        <v>45718.0</v>
      </c>
      <c r="B13" s="12">
        <v>134059.0</v>
      </c>
      <c r="C13" s="12">
        <v>30000.0</v>
      </c>
      <c r="D13" s="12" t="s">
        <v>7</v>
      </c>
    </row>
    <row r="14">
      <c r="A14" s="13">
        <v>45722.0</v>
      </c>
      <c r="B14" s="12">
        <v>141470.0</v>
      </c>
      <c r="C14" s="12">
        <v>25000.0</v>
      </c>
      <c r="D14" s="12" t="s">
        <v>7</v>
      </c>
    </row>
    <row r="15">
      <c r="A15" s="12" t="s">
        <v>133</v>
      </c>
      <c r="B15" s="12">
        <v>295521.0</v>
      </c>
      <c r="C15" s="12">
        <v>28740.0</v>
      </c>
      <c r="D15" s="12" t="s">
        <v>7</v>
      </c>
    </row>
    <row r="16">
      <c r="A16" s="12" t="s">
        <v>134</v>
      </c>
      <c r="B16" s="12">
        <v>295522.0</v>
      </c>
      <c r="C16" s="12">
        <v>29630.0</v>
      </c>
      <c r="D16" s="12" t="s">
        <v>7</v>
      </c>
    </row>
    <row r="17">
      <c r="A17" s="12" t="s">
        <v>35</v>
      </c>
      <c r="B17" s="12">
        <v>295523.0</v>
      </c>
      <c r="C17" s="12">
        <v>26540.0</v>
      </c>
      <c r="D17" s="12" t="s">
        <v>7</v>
      </c>
    </row>
    <row r="18">
      <c r="A18" s="13">
        <v>45788.0</v>
      </c>
      <c r="B18" s="12">
        <v>212632.0</v>
      </c>
      <c r="C18" s="12">
        <v>36800.0</v>
      </c>
      <c r="D18" s="12" t="s">
        <v>7</v>
      </c>
    </row>
    <row r="19">
      <c r="A19" s="13">
        <v>46002.0</v>
      </c>
      <c r="B19" s="12">
        <v>212633.0</v>
      </c>
      <c r="C19" s="12">
        <v>38300.0</v>
      </c>
      <c r="D19" s="12" t="s">
        <v>7</v>
      </c>
    </row>
    <row r="20">
      <c r="A20" s="12" t="s">
        <v>135</v>
      </c>
      <c r="B20" s="12">
        <v>212634.0</v>
      </c>
      <c r="C20" s="12">
        <v>37650.0</v>
      </c>
      <c r="D20" s="12" t="s">
        <v>7</v>
      </c>
    </row>
    <row r="21">
      <c r="A21" s="12" t="s">
        <v>136</v>
      </c>
      <c r="B21" s="12">
        <v>212635.0</v>
      </c>
      <c r="C21" s="12">
        <v>39350.0</v>
      </c>
      <c r="D21" s="12" t="s">
        <v>7</v>
      </c>
    </row>
    <row r="22">
      <c r="A22" s="12" t="s">
        <v>137</v>
      </c>
      <c r="B22" s="12">
        <v>627072.0</v>
      </c>
      <c r="C22" s="12">
        <v>42360.0</v>
      </c>
    </row>
    <row r="23">
      <c r="A23" s="12" t="s">
        <v>138</v>
      </c>
      <c r="B23" s="12">
        <v>627073.0</v>
      </c>
      <c r="C23" s="12">
        <v>41244.0</v>
      </c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139</v>
      </c>
      <c r="I1" s="17"/>
      <c r="J1" s="2" t="s">
        <v>0</v>
      </c>
      <c r="K1" s="3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3">
        <v>45574.0</v>
      </c>
      <c r="B4" s="12">
        <v>35093.0</v>
      </c>
      <c r="C4" s="12">
        <v>4900.0</v>
      </c>
      <c r="D4" s="12" t="s">
        <v>7</v>
      </c>
    </row>
    <row r="5">
      <c r="A5" s="20">
        <v>45937.0</v>
      </c>
      <c r="B5" s="12">
        <v>38218.0</v>
      </c>
      <c r="C5" s="12">
        <v>5000.0</v>
      </c>
      <c r="D5" s="12" t="s">
        <v>7</v>
      </c>
      <c r="E5" s="12"/>
    </row>
    <row r="6">
      <c r="A6" s="12" t="s">
        <v>140</v>
      </c>
      <c r="B6" s="12">
        <v>38870.0</v>
      </c>
      <c r="C6" s="12">
        <v>5000.0</v>
      </c>
      <c r="D6" s="12" t="s">
        <v>7</v>
      </c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141</v>
      </c>
      <c r="I1" s="17"/>
      <c r="J1" s="18"/>
      <c r="K1" s="21" t="s">
        <v>0</v>
      </c>
      <c r="L1" s="21">
        <f>SUMIF(F1:F1000,"&lt;&gt;CLEARED",E1:E1000)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142</v>
      </c>
      <c r="B4" s="12">
        <v>2276.0</v>
      </c>
      <c r="C4" s="12">
        <v>19500.0</v>
      </c>
      <c r="D4" s="12" t="s">
        <v>7</v>
      </c>
    </row>
    <row r="5">
      <c r="A5" s="20">
        <v>45840.0</v>
      </c>
      <c r="B5" s="12">
        <v>2590.0</v>
      </c>
      <c r="C5" s="12">
        <v>24899.0</v>
      </c>
      <c r="D5" s="12" t="s">
        <v>7</v>
      </c>
      <c r="E5" s="12"/>
    </row>
    <row r="6">
      <c r="A6" s="12" t="s">
        <v>143</v>
      </c>
      <c r="B6" s="12">
        <v>2713.0</v>
      </c>
      <c r="C6" s="12">
        <v>29100.0</v>
      </c>
      <c r="D6" s="12" t="s">
        <v>7</v>
      </c>
      <c r="E6" s="12"/>
    </row>
    <row r="7">
      <c r="A7" s="12" t="s">
        <v>29</v>
      </c>
      <c r="B7" s="12">
        <v>2779.0</v>
      </c>
      <c r="C7" s="12">
        <v>19500.0</v>
      </c>
      <c r="D7" s="12" t="s">
        <v>7</v>
      </c>
    </row>
    <row r="8">
      <c r="A8" s="12" t="s">
        <v>144</v>
      </c>
      <c r="B8" s="12">
        <v>2866.0</v>
      </c>
      <c r="C8" s="12">
        <v>23400.0</v>
      </c>
      <c r="D8" s="12" t="s">
        <v>7</v>
      </c>
    </row>
    <row r="9">
      <c r="A9" s="12" t="s">
        <v>145</v>
      </c>
      <c r="B9" s="12">
        <v>3014.0</v>
      </c>
      <c r="C9" s="12">
        <v>23400.0</v>
      </c>
      <c r="D9" s="12" t="s">
        <v>7</v>
      </c>
    </row>
    <row r="10">
      <c r="A10" s="22">
        <v>45910.0</v>
      </c>
      <c r="B10" s="23">
        <v>3249.0</v>
      </c>
      <c r="C10" s="23">
        <v>29361.0</v>
      </c>
    </row>
    <row r="11">
      <c r="A11" s="12" t="s">
        <v>146</v>
      </c>
      <c r="B11" s="12">
        <v>39.0</v>
      </c>
      <c r="C11" s="12">
        <v>29361.0</v>
      </c>
      <c r="D11" s="12" t="s">
        <v>42</v>
      </c>
    </row>
    <row r="12">
      <c r="A12" s="12" t="s">
        <v>147</v>
      </c>
      <c r="B12" s="12">
        <v>173.0</v>
      </c>
      <c r="C12" s="12">
        <v>19501.0</v>
      </c>
      <c r="D12" s="12" t="s">
        <v>42</v>
      </c>
    </row>
    <row r="13">
      <c r="A13" s="12" t="s">
        <v>148</v>
      </c>
      <c r="B13" s="12">
        <v>297.0</v>
      </c>
      <c r="C13" s="12">
        <v>19501.0</v>
      </c>
      <c r="D13" s="12" t="s">
        <v>42</v>
      </c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149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20">
        <v>45483.0</v>
      </c>
      <c r="B4" s="12">
        <v>819070.0</v>
      </c>
      <c r="C4" s="12">
        <v>10000.0</v>
      </c>
      <c r="D4" s="12" t="s">
        <v>7</v>
      </c>
    </row>
    <row r="5">
      <c r="A5" s="24" t="s">
        <v>15</v>
      </c>
      <c r="B5" s="12">
        <v>940135.0</v>
      </c>
      <c r="C5" s="12">
        <v>10000.0</v>
      </c>
      <c r="D5" s="12" t="s">
        <v>7</v>
      </c>
      <c r="E5" s="12"/>
    </row>
    <row r="6">
      <c r="A6" s="13">
        <v>45781.0</v>
      </c>
      <c r="B6" s="12">
        <v>113014.0</v>
      </c>
      <c r="C6" s="12">
        <v>10000.0</v>
      </c>
      <c r="D6" s="12" t="s">
        <v>7</v>
      </c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150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151</v>
      </c>
      <c r="B4" s="12">
        <v>17060.0</v>
      </c>
      <c r="C4" s="12">
        <v>8295.0</v>
      </c>
      <c r="D4" s="12" t="s">
        <v>7</v>
      </c>
    </row>
    <row r="5">
      <c r="A5" s="24" t="s">
        <v>152</v>
      </c>
      <c r="B5" s="12">
        <v>17062.0</v>
      </c>
      <c r="C5" s="12">
        <v>11463.0</v>
      </c>
      <c r="D5" s="12" t="s">
        <v>7</v>
      </c>
      <c r="E5" s="12"/>
    </row>
    <row r="6">
      <c r="A6" s="12" t="s">
        <v>153</v>
      </c>
      <c r="B6" s="12">
        <v>17065.0</v>
      </c>
      <c r="C6" s="12">
        <v>8369.0</v>
      </c>
      <c r="D6" s="12" t="s">
        <v>7</v>
      </c>
      <c r="E6" s="12"/>
    </row>
    <row r="7">
      <c r="A7" s="12" t="s">
        <v>154</v>
      </c>
      <c r="B7" s="12">
        <v>1168.0</v>
      </c>
      <c r="C7" s="12">
        <v>7200.0</v>
      </c>
      <c r="D7" s="12" t="s">
        <v>7</v>
      </c>
    </row>
    <row r="8">
      <c r="A8" s="13">
        <v>45783.0</v>
      </c>
      <c r="B8" s="12">
        <v>17071.0</v>
      </c>
      <c r="C8" s="12">
        <v>5158.0</v>
      </c>
      <c r="D8" s="12" t="s">
        <v>7</v>
      </c>
    </row>
    <row r="9">
      <c r="A9" s="12" t="s">
        <v>37</v>
      </c>
      <c r="B9" s="12">
        <v>12086.0</v>
      </c>
      <c r="C9" s="12">
        <v>12086.0</v>
      </c>
      <c r="D9" s="12" t="s">
        <v>7</v>
      </c>
    </row>
    <row r="10">
      <c r="A10" s="12" t="s">
        <v>155</v>
      </c>
      <c r="B10" s="12">
        <v>17073.0</v>
      </c>
      <c r="C10" s="12">
        <v>8191.0</v>
      </c>
      <c r="D10" s="12" t="s">
        <v>7</v>
      </c>
    </row>
    <row r="11">
      <c r="A11" s="13">
        <v>45881.0</v>
      </c>
      <c r="B11" s="12">
        <v>1197.0</v>
      </c>
      <c r="C11" s="12">
        <v>10495.0</v>
      </c>
      <c r="D11" s="12" t="s">
        <v>7</v>
      </c>
    </row>
    <row r="12">
      <c r="A12" s="12" t="s">
        <v>156</v>
      </c>
      <c r="B12" s="12">
        <v>1205.0</v>
      </c>
      <c r="C12" s="12">
        <v>9221.0</v>
      </c>
      <c r="D12" s="12" t="s">
        <v>7</v>
      </c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157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9</v>
      </c>
      <c r="B4" s="12">
        <v>5606.0</v>
      </c>
      <c r="C4" s="12">
        <v>10000.0</v>
      </c>
      <c r="D4" s="12" t="s">
        <v>7</v>
      </c>
    </row>
    <row r="5">
      <c r="A5" s="24" t="s">
        <v>18</v>
      </c>
      <c r="B5" s="12">
        <v>248657.0</v>
      </c>
      <c r="C5" s="12">
        <v>10000.0</v>
      </c>
      <c r="D5" s="12" t="s">
        <v>7</v>
      </c>
      <c r="E5" s="12"/>
    </row>
    <row r="6">
      <c r="A6" s="12" t="s">
        <v>158</v>
      </c>
      <c r="B6" s="12">
        <v>252563.0</v>
      </c>
      <c r="C6" s="12">
        <v>10000.0</v>
      </c>
      <c r="D6" s="12" t="s">
        <v>7</v>
      </c>
      <c r="E6" s="12"/>
    </row>
    <row r="7">
      <c r="A7" s="13">
        <v>45750.0</v>
      </c>
      <c r="B7" s="12">
        <v>6795.0</v>
      </c>
      <c r="C7" s="12">
        <v>10000.0</v>
      </c>
      <c r="D7" s="12" t="s">
        <v>7</v>
      </c>
    </row>
    <row r="8">
      <c r="A8" s="12" t="s">
        <v>159</v>
      </c>
      <c r="B8" s="12">
        <v>258469.0</v>
      </c>
      <c r="C8" s="12">
        <v>10000.0</v>
      </c>
      <c r="D8" s="12" t="s">
        <v>7</v>
      </c>
    </row>
    <row r="9">
      <c r="A9" s="12" t="s">
        <v>33</v>
      </c>
      <c r="B9" s="12">
        <v>262501.0</v>
      </c>
      <c r="C9" s="12">
        <v>10000.0</v>
      </c>
      <c r="D9" s="12" t="s">
        <v>7</v>
      </c>
    </row>
    <row r="10">
      <c r="A10" s="13">
        <v>45784.0</v>
      </c>
      <c r="B10" s="12">
        <v>262539.0</v>
      </c>
      <c r="C10" s="12">
        <v>10000.0</v>
      </c>
      <c r="D10" s="12" t="s">
        <v>7</v>
      </c>
    </row>
    <row r="11">
      <c r="A11" s="12" t="s">
        <v>117</v>
      </c>
      <c r="B11" s="12">
        <v>262430.0</v>
      </c>
      <c r="C11" s="12">
        <v>10000.0</v>
      </c>
      <c r="D11" s="12" t="s">
        <v>7</v>
      </c>
    </row>
    <row r="12">
      <c r="A12" s="12" t="s">
        <v>160</v>
      </c>
      <c r="B12" s="12">
        <v>262615.0</v>
      </c>
      <c r="C12" s="12">
        <v>10000.0</v>
      </c>
      <c r="D12" s="12" t="s">
        <v>7</v>
      </c>
    </row>
    <row r="13">
      <c r="A13" s="12" t="s">
        <v>37</v>
      </c>
      <c r="B13" s="12">
        <v>262616.0</v>
      </c>
      <c r="C13" s="12">
        <v>8000.0</v>
      </c>
      <c r="D13" s="12" t="s">
        <v>7</v>
      </c>
    </row>
    <row r="14">
      <c r="A14" s="12" t="s">
        <v>161</v>
      </c>
      <c r="B14" s="12">
        <v>265446.0</v>
      </c>
      <c r="C14" s="12">
        <v>10000.0</v>
      </c>
      <c r="D14" s="12" t="s">
        <v>7</v>
      </c>
    </row>
    <row r="15">
      <c r="A15" s="13">
        <v>45788.0</v>
      </c>
      <c r="B15" s="12">
        <v>269102.0</v>
      </c>
      <c r="C15" s="12">
        <v>10000.0</v>
      </c>
      <c r="D15" s="12" t="s">
        <v>90</v>
      </c>
    </row>
    <row r="16">
      <c r="A16" s="12" t="s">
        <v>162</v>
      </c>
      <c r="B16" s="12">
        <v>9255.0</v>
      </c>
      <c r="C16" s="12">
        <v>10000.0</v>
      </c>
      <c r="D16" s="12" t="s">
        <v>7</v>
      </c>
    </row>
    <row r="17">
      <c r="A17" s="12" t="s">
        <v>163</v>
      </c>
      <c r="B17" s="12">
        <v>9254.0</v>
      </c>
      <c r="C17" s="12">
        <v>10000.0</v>
      </c>
      <c r="D17" s="12" t="s">
        <v>90</v>
      </c>
    </row>
    <row r="18">
      <c r="A18" s="13">
        <v>46205.0</v>
      </c>
      <c r="B18" s="12">
        <v>9439.0</v>
      </c>
      <c r="C18" s="12">
        <v>10000.0</v>
      </c>
      <c r="D18" s="12" t="s">
        <v>7</v>
      </c>
    </row>
    <row r="19">
      <c r="A19" s="12" t="s">
        <v>164</v>
      </c>
      <c r="B19" s="12">
        <v>9706.0</v>
      </c>
      <c r="C19" s="12">
        <v>15000.0</v>
      </c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165</v>
      </c>
      <c r="I1" s="17"/>
      <c r="J1" s="18" t="s">
        <v>0</v>
      </c>
      <c r="K1" s="21">
        <f>SUMIF(E1:E1000,"&lt;&gt;CLEARED",D1:D1000)</f>
        <v>0</v>
      </c>
    </row>
    <row r="2">
      <c r="A2" s="4"/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3">
        <v>45361.0</v>
      </c>
      <c r="B4" s="12">
        <v>104326.0</v>
      </c>
      <c r="C4" s="12">
        <v>10000.0</v>
      </c>
      <c r="D4" s="12" t="s">
        <v>7</v>
      </c>
    </row>
    <row r="5">
      <c r="A5" s="25">
        <v>45606.0</v>
      </c>
      <c r="B5" s="12">
        <v>104374.0</v>
      </c>
      <c r="C5" s="12">
        <v>10000.0</v>
      </c>
      <c r="D5" s="12" t="s">
        <v>7</v>
      </c>
      <c r="E5" s="12"/>
    </row>
    <row r="6">
      <c r="A6" s="13">
        <v>45302.0</v>
      </c>
      <c r="B6" s="12">
        <v>104471.0</v>
      </c>
      <c r="C6" s="12">
        <v>8000.0</v>
      </c>
      <c r="D6" s="12" t="s">
        <v>7</v>
      </c>
      <c r="E6" s="12"/>
    </row>
    <row r="7">
      <c r="A7" s="12" t="s">
        <v>12</v>
      </c>
      <c r="B7" s="12">
        <v>108715.0</v>
      </c>
      <c r="C7" s="12">
        <v>5000.0</v>
      </c>
      <c r="D7" s="12" t="s">
        <v>90</v>
      </c>
    </row>
    <row r="8">
      <c r="A8" s="12" t="s">
        <v>166</v>
      </c>
      <c r="B8" s="12">
        <v>108947.0</v>
      </c>
      <c r="C8" s="12">
        <v>5000.0</v>
      </c>
      <c r="D8" s="12" t="s">
        <v>90</v>
      </c>
    </row>
    <row r="9">
      <c r="A9" s="12" t="s">
        <v>167</v>
      </c>
      <c r="B9" s="12">
        <v>108787.0</v>
      </c>
      <c r="C9" s="12">
        <v>5000.0</v>
      </c>
      <c r="D9" s="12" t="s">
        <v>90</v>
      </c>
    </row>
    <row r="10">
      <c r="A10" s="12" t="s">
        <v>168</v>
      </c>
      <c r="B10" s="12">
        <v>111955.0</v>
      </c>
      <c r="C10" s="12">
        <v>5000.0</v>
      </c>
      <c r="D10" s="12" t="s">
        <v>90</v>
      </c>
    </row>
    <row r="11">
      <c r="A11" s="13">
        <v>45659.0</v>
      </c>
      <c r="B11" s="12">
        <v>112022.0</v>
      </c>
      <c r="C11" s="12">
        <v>10000.0</v>
      </c>
      <c r="D11" s="12" t="s">
        <v>90</v>
      </c>
    </row>
    <row r="12">
      <c r="A12" s="13">
        <v>45871.0</v>
      </c>
      <c r="B12" s="12">
        <v>112054.0</v>
      </c>
      <c r="C12" s="12">
        <v>7000.0</v>
      </c>
      <c r="D12" s="12" t="s">
        <v>90</v>
      </c>
    </row>
    <row r="13">
      <c r="A13" s="12" t="s">
        <v>132</v>
      </c>
      <c r="B13" s="12">
        <v>112088.0</v>
      </c>
      <c r="C13" s="12">
        <v>8000.0</v>
      </c>
      <c r="D13" s="12" t="s">
        <v>90</v>
      </c>
    </row>
    <row r="14">
      <c r="A14" s="12" t="s">
        <v>169</v>
      </c>
      <c r="B14" s="12">
        <v>112118.0</v>
      </c>
      <c r="C14" s="12">
        <v>5000.0</v>
      </c>
      <c r="D14" s="12" t="s">
        <v>90</v>
      </c>
    </row>
    <row r="15">
      <c r="A15" s="13">
        <v>45660.0</v>
      </c>
      <c r="B15" s="12">
        <v>111857.0</v>
      </c>
      <c r="C15" s="12">
        <v>5000.0</v>
      </c>
      <c r="D15" s="12" t="s">
        <v>90</v>
      </c>
    </row>
    <row r="16">
      <c r="A16" s="12" t="s">
        <v>170</v>
      </c>
      <c r="B16" s="12">
        <v>111924.0</v>
      </c>
      <c r="C16" s="12">
        <v>8000.0</v>
      </c>
      <c r="D16" s="12" t="s">
        <v>90</v>
      </c>
    </row>
    <row r="17">
      <c r="A17" s="12" t="s">
        <v>171</v>
      </c>
      <c r="B17" s="12">
        <v>115284.0</v>
      </c>
      <c r="C17" s="12">
        <v>5000.0</v>
      </c>
      <c r="D17" s="12" t="s">
        <v>90</v>
      </c>
    </row>
    <row r="18">
      <c r="A18" s="12" t="s">
        <v>172</v>
      </c>
      <c r="B18" s="12">
        <v>115387.0</v>
      </c>
      <c r="C18" s="12">
        <v>10000.0</v>
      </c>
      <c r="D18" s="12" t="s">
        <v>90</v>
      </c>
    </row>
    <row r="19">
      <c r="A19" s="12" t="s">
        <v>173</v>
      </c>
      <c r="B19" s="12">
        <v>115421.0</v>
      </c>
      <c r="C19" s="12">
        <v>8000.0</v>
      </c>
      <c r="D19" s="12" t="s">
        <v>90</v>
      </c>
    </row>
    <row r="20">
      <c r="A20" s="13">
        <v>45844.0</v>
      </c>
      <c r="B20" s="12">
        <v>115492.0</v>
      </c>
      <c r="C20" s="12">
        <v>8000.0</v>
      </c>
      <c r="D20" s="12" t="s">
        <v>90</v>
      </c>
    </row>
    <row r="21">
      <c r="A21" s="12" t="s">
        <v>174</v>
      </c>
      <c r="B21" s="12">
        <v>118297.0</v>
      </c>
      <c r="C21" s="12">
        <v>15000.0</v>
      </c>
      <c r="D21" s="12" t="s">
        <v>90</v>
      </c>
    </row>
    <row r="22">
      <c r="A22" s="12" t="s">
        <v>41</v>
      </c>
      <c r="B22" s="12">
        <v>118334.0</v>
      </c>
      <c r="C22" s="12">
        <v>5000.0</v>
      </c>
      <c r="D22" s="12" t="s">
        <v>90</v>
      </c>
    </row>
    <row r="23">
      <c r="A23" s="12" t="s">
        <v>175</v>
      </c>
      <c r="B23" s="12">
        <v>118453.0</v>
      </c>
      <c r="C23" s="12">
        <v>7000.0</v>
      </c>
      <c r="D23" s="12" t="s">
        <v>90</v>
      </c>
    </row>
    <row r="24">
      <c r="A24" s="12" t="s">
        <v>176</v>
      </c>
      <c r="B24" s="12">
        <v>123479.0</v>
      </c>
      <c r="C24" s="12">
        <v>5000.0</v>
      </c>
      <c r="D24" s="12" t="s">
        <v>90</v>
      </c>
    </row>
    <row r="25">
      <c r="A25" s="13">
        <v>45817.0</v>
      </c>
      <c r="B25" s="12">
        <v>123533.0</v>
      </c>
      <c r="C25" s="12">
        <v>7000.0</v>
      </c>
      <c r="D25" s="12" t="s">
        <v>90</v>
      </c>
    </row>
    <row r="26">
      <c r="A26" s="12" t="s">
        <v>177</v>
      </c>
      <c r="B26" s="12">
        <v>123644.0</v>
      </c>
      <c r="C26" s="12">
        <v>10000.0</v>
      </c>
      <c r="D26" s="12" t="s">
        <v>90</v>
      </c>
    </row>
    <row r="27">
      <c r="A27" s="12" t="s">
        <v>178</v>
      </c>
      <c r="B27" s="12">
        <v>127250.0</v>
      </c>
      <c r="C27" s="12">
        <v>8000.0</v>
      </c>
      <c r="D27" s="12" t="s">
        <v>90</v>
      </c>
    </row>
    <row r="28">
      <c r="A28" s="13">
        <v>46003.0</v>
      </c>
      <c r="B28" s="12">
        <v>127180.0</v>
      </c>
      <c r="C28" s="12">
        <v>6000.0</v>
      </c>
      <c r="D28" s="12" t="s">
        <v>7</v>
      </c>
    </row>
    <row r="29">
      <c r="A29" s="12" t="s">
        <v>179</v>
      </c>
      <c r="B29" s="12">
        <v>131246.0</v>
      </c>
      <c r="C29" s="12">
        <v>10000.0</v>
      </c>
      <c r="D29" s="12" t="s">
        <v>7</v>
      </c>
    </row>
    <row r="30">
      <c r="A30" s="16">
        <v>46176.0</v>
      </c>
      <c r="B30" s="12">
        <v>131297.0</v>
      </c>
      <c r="C30" s="12">
        <v>10000.0</v>
      </c>
      <c r="D30" s="12" t="s">
        <v>7</v>
      </c>
      <c r="Z30" s="12" t="s">
        <v>180</v>
      </c>
    </row>
    <row r="35">
      <c r="D35" s="12" t="s">
        <v>181</v>
      </c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182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/>
      <c r="B4" s="12"/>
      <c r="C4" s="12"/>
      <c r="D4" s="12"/>
    </row>
    <row r="5">
      <c r="A5" s="20"/>
      <c r="B5" s="12"/>
      <c r="C5" s="12"/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48.25"/>
    <col customWidth="1" min="7" max="7" width="12.38"/>
    <col customWidth="1" min="8" max="8" width="10.75"/>
  </cols>
  <sheetData>
    <row r="1" ht="41.25" customHeight="1">
      <c r="A1" s="1" t="s">
        <v>183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123</v>
      </c>
      <c r="B4" s="12">
        <v>337292.0</v>
      </c>
      <c r="C4" s="12">
        <v>10000.0</v>
      </c>
      <c r="D4" s="12"/>
      <c r="E4" s="12" t="s">
        <v>8</v>
      </c>
    </row>
    <row r="5">
      <c r="A5" s="20">
        <v>45514.0</v>
      </c>
      <c r="B5" s="12">
        <v>337294.0</v>
      </c>
      <c r="C5" s="12">
        <v>10000.0</v>
      </c>
      <c r="D5" s="12" t="s">
        <v>7</v>
      </c>
      <c r="E5" s="12"/>
    </row>
    <row r="6">
      <c r="A6" s="13">
        <v>45567.0</v>
      </c>
      <c r="B6" s="12">
        <v>337303.0</v>
      </c>
      <c r="C6" s="12">
        <v>20000.0</v>
      </c>
      <c r="E6" s="12"/>
      <c r="F6" s="12" t="s">
        <v>184</v>
      </c>
    </row>
    <row r="7">
      <c r="A7" s="12" t="s">
        <v>185</v>
      </c>
      <c r="B7" s="12">
        <v>337307.0</v>
      </c>
      <c r="C7" s="12">
        <v>10000.0</v>
      </c>
      <c r="D7" s="12"/>
      <c r="E7" s="12" t="s">
        <v>186</v>
      </c>
      <c r="F7" s="12" t="s">
        <v>187</v>
      </c>
    </row>
    <row r="8">
      <c r="A8" s="12" t="s">
        <v>188</v>
      </c>
      <c r="B8" s="12">
        <v>337308.0</v>
      </c>
      <c r="C8" s="12">
        <v>10000.0</v>
      </c>
      <c r="E8" s="12" t="s">
        <v>186</v>
      </c>
      <c r="F8" s="12" t="s">
        <v>187</v>
      </c>
    </row>
    <row r="9">
      <c r="A9" s="12" t="s">
        <v>189</v>
      </c>
      <c r="B9" s="12">
        <v>337310.0</v>
      </c>
      <c r="C9" s="12">
        <v>10000.0</v>
      </c>
      <c r="D9" s="12" t="s">
        <v>7</v>
      </c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190</v>
      </c>
      <c r="I1" s="17"/>
      <c r="J1" s="18" t="s">
        <v>0</v>
      </c>
      <c r="K1" s="21">
        <f>SUMIF(E1:E1001,"&lt;&gt;CLEARED",D1:D1001)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3">
        <v>45392.0</v>
      </c>
      <c r="B4" s="12">
        <v>39815.0</v>
      </c>
      <c r="C4" s="12">
        <v>30000.0</v>
      </c>
      <c r="D4" s="12" t="s">
        <v>7</v>
      </c>
    </row>
    <row r="5">
      <c r="A5" s="25">
        <v>45483.0</v>
      </c>
      <c r="B5" s="12">
        <v>39813.0</v>
      </c>
      <c r="C5" s="12">
        <v>15000.0</v>
      </c>
      <c r="D5" s="12" t="s">
        <v>7</v>
      </c>
      <c r="E5" s="12"/>
    </row>
    <row r="6">
      <c r="A6" s="13">
        <v>45514.0</v>
      </c>
      <c r="B6" s="12">
        <v>39816.0</v>
      </c>
      <c r="C6" s="12">
        <v>34353.0</v>
      </c>
      <c r="D6" s="12" t="s">
        <v>7</v>
      </c>
      <c r="E6" s="12"/>
    </row>
    <row r="7">
      <c r="A7" s="13">
        <v>45547.0</v>
      </c>
      <c r="B7" s="12">
        <v>39512.0</v>
      </c>
      <c r="C7" s="12">
        <v>25000.0</v>
      </c>
      <c r="D7" s="12" t="s">
        <v>7</v>
      </c>
    </row>
    <row r="8">
      <c r="A8" s="13">
        <v>45424.0</v>
      </c>
      <c r="B8" s="12">
        <v>39511.0</v>
      </c>
      <c r="C8" s="12">
        <v>25661.0</v>
      </c>
      <c r="D8" s="12" t="s">
        <v>7</v>
      </c>
    </row>
    <row r="9">
      <c r="A9" s="13">
        <v>45748.0</v>
      </c>
      <c r="B9" s="12">
        <v>43625.0</v>
      </c>
      <c r="C9" s="12">
        <v>25000.0</v>
      </c>
      <c r="D9" s="12" t="s">
        <v>7</v>
      </c>
    </row>
    <row r="10">
      <c r="A10" s="13">
        <v>45901.0</v>
      </c>
      <c r="B10" s="12">
        <v>43626.0</v>
      </c>
      <c r="C10" s="12">
        <v>20000.0</v>
      </c>
      <c r="D10" s="12" t="s">
        <v>7</v>
      </c>
    </row>
    <row r="11">
      <c r="A11" s="12" t="s">
        <v>153</v>
      </c>
      <c r="B11" s="12">
        <v>43627.0</v>
      </c>
      <c r="C11" s="12">
        <v>25000.0</v>
      </c>
      <c r="D11" s="12" t="s">
        <v>7</v>
      </c>
    </row>
    <row r="12">
      <c r="A12" s="12" t="s">
        <v>24</v>
      </c>
      <c r="B12" s="12">
        <v>433628.0</v>
      </c>
      <c r="C12" s="12">
        <v>20000.0</v>
      </c>
      <c r="D12" s="12" t="s">
        <v>7</v>
      </c>
    </row>
    <row r="13">
      <c r="A13" s="12" t="s">
        <v>158</v>
      </c>
      <c r="B13" s="12">
        <v>43629.0</v>
      </c>
      <c r="C13" s="12">
        <v>20900.0</v>
      </c>
      <c r="D13" s="12" t="s">
        <v>7</v>
      </c>
    </row>
    <row r="14">
      <c r="A14" s="12" t="s">
        <v>191</v>
      </c>
      <c r="B14" s="12">
        <v>43536.0</v>
      </c>
      <c r="C14" s="12">
        <v>22100.0</v>
      </c>
      <c r="D14" s="12" t="s">
        <v>7</v>
      </c>
    </row>
    <row r="15">
      <c r="A15" s="12" t="s">
        <v>192</v>
      </c>
      <c r="B15" s="12">
        <v>43534.0</v>
      </c>
      <c r="C15" s="12">
        <v>25000.0</v>
      </c>
      <c r="D15" s="12" t="s">
        <v>7</v>
      </c>
    </row>
    <row r="16">
      <c r="A16" s="12" t="s">
        <v>193</v>
      </c>
      <c r="B16" s="12">
        <v>43535.0</v>
      </c>
      <c r="C16" s="12">
        <v>25000.0</v>
      </c>
      <c r="D16" s="12" t="s">
        <v>7</v>
      </c>
    </row>
    <row r="17">
      <c r="A17" s="12" t="s">
        <v>194</v>
      </c>
      <c r="B17" s="12">
        <v>43348.0</v>
      </c>
      <c r="C17" s="12">
        <v>25000.0</v>
      </c>
      <c r="D17" s="12" t="s">
        <v>7</v>
      </c>
    </row>
    <row r="18">
      <c r="A18" s="12" t="s">
        <v>195</v>
      </c>
      <c r="B18" s="12">
        <v>43349.0</v>
      </c>
      <c r="C18" s="12">
        <v>30000.0</v>
      </c>
      <c r="D18" s="12" t="s">
        <v>7</v>
      </c>
    </row>
    <row r="19">
      <c r="A19" s="12" t="s">
        <v>171</v>
      </c>
      <c r="B19" s="12">
        <v>43350.0</v>
      </c>
      <c r="C19" s="12">
        <v>25000.0</v>
      </c>
      <c r="D19" s="12" t="s">
        <v>7</v>
      </c>
    </row>
    <row r="20">
      <c r="A20" s="12" t="s">
        <v>196</v>
      </c>
      <c r="B20" s="12">
        <v>43351.0</v>
      </c>
      <c r="C20" s="12">
        <v>25000.0</v>
      </c>
      <c r="D20" s="12" t="s">
        <v>7</v>
      </c>
    </row>
    <row r="21">
      <c r="A21" s="13">
        <v>45782.0</v>
      </c>
      <c r="B21" s="12">
        <v>43352.0</v>
      </c>
      <c r="C21" s="12">
        <v>33150.0</v>
      </c>
      <c r="D21" s="12" t="s">
        <v>7</v>
      </c>
    </row>
    <row r="22">
      <c r="A22" s="13">
        <v>45844.0</v>
      </c>
      <c r="B22" s="12">
        <v>46191.0</v>
      </c>
      <c r="C22" s="12">
        <v>25000.0</v>
      </c>
      <c r="D22" s="12" t="s">
        <v>7</v>
      </c>
    </row>
    <row r="23">
      <c r="A23" s="13">
        <v>45997.0</v>
      </c>
      <c r="B23" s="12">
        <v>46192.0</v>
      </c>
      <c r="C23" s="12">
        <v>25000.0</v>
      </c>
      <c r="D23" s="12" t="s">
        <v>7</v>
      </c>
    </row>
    <row r="24">
      <c r="A24" s="12" t="s">
        <v>197</v>
      </c>
      <c r="B24" s="12">
        <v>46193.0</v>
      </c>
      <c r="C24" s="12">
        <v>25000.0</v>
      </c>
      <c r="D24" s="12" t="s">
        <v>7</v>
      </c>
    </row>
    <row r="25">
      <c r="A25" s="12" t="s">
        <v>198</v>
      </c>
      <c r="B25" s="12">
        <v>46194.0</v>
      </c>
      <c r="C25" s="12">
        <v>25000.0</v>
      </c>
      <c r="D25" s="12" t="s">
        <v>7</v>
      </c>
    </row>
    <row r="26">
      <c r="A26" s="12" t="s">
        <v>33</v>
      </c>
      <c r="B26" s="12">
        <v>46195.0</v>
      </c>
      <c r="C26" s="12">
        <v>19150.0</v>
      </c>
      <c r="D26" s="12" t="s">
        <v>7</v>
      </c>
    </row>
    <row r="27">
      <c r="A27" s="13">
        <v>45755.0</v>
      </c>
      <c r="B27" s="12">
        <v>47550.0</v>
      </c>
      <c r="C27" s="12">
        <v>25000.0</v>
      </c>
      <c r="D27" s="12" t="s">
        <v>7</v>
      </c>
    </row>
    <row r="28">
      <c r="A28" s="13">
        <v>45999.0</v>
      </c>
      <c r="B28" s="12">
        <v>47551.0</v>
      </c>
      <c r="C28" s="12">
        <v>25000.0</v>
      </c>
      <c r="D28" s="12" t="s">
        <v>7</v>
      </c>
    </row>
    <row r="29">
      <c r="A29" s="12" t="s">
        <v>199</v>
      </c>
      <c r="B29" s="12">
        <v>47552.0</v>
      </c>
      <c r="C29" s="12">
        <v>30000.0</v>
      </c>
      <c r="D29" s="12" t="s">
        <v>7</v>
      </c>
    </row>
    <row r="30">
      <c r="A30" s="12" t="s">
        <v>47</v>
      </c>
      <c r="B30" s="12">
        <v>487976.0</v>
      </c>
      <c r="C30" s="12">
        <v>40000.0</v>
      </c>
      <c r="D30" s="12" t="s">
        <v>7</v>
      </c>
    </row>
    <row r="31">
      <c r="A31" s="12" t="s">
        <v>135</v>
      </c>
      <c r="B31" s="12">
        <v>512650.0</v>
      </c>
      <c r="C31" s="12">
        <v>40000.0</v>
      </c>
      <c r="D31" s="12" t="s">
        <v>7</v>
      </c>
    </row>
    <row r="32">
      <c r="A32" s="12" t="s">
        <v>136</v>
      </c>
      <c r="B32" s="12">
        <v>512651.0</v>
      </c>
      <c r="C32" s="12">
        <v>40000.0</v>
      </c>
      <c r="D32" s="12" t="s">
        <v>7</v>
      </c>
    </row>
    <row r="33">
      <c r="A33" s="12" t="s">
        <v>200</v>
      </c>
      <c r="B33" s="12">
        <v>621303.0</v>
      </c>
      <c r="C33" s="12">
        <v>30000.0</v>
      </c>
      <c r="D33" s="12" t="s">
        <v>7</v>
      </c>
    </row>
    <row r="34">
      <c r="A34" s="12" t="s">
        <v>201</v>
      </c>
      <c r="B34" s="12">
        <v>621304.0</v>
      </c>
      <c r="C34" s="12">
        <v>30000.0</v>
      </c>
      <c r="D34" s="12" t="s">
        <v>7</v>
      </c>
    </row>
    <row r="35">
      <c r="A35" s="13">
        <v>46055.0</v>
      </c>
      <c r="B35" s="12">
        <v>621305.0</v>
      </c>
      <c r="C35" s="12">
        <v>30000.0</v>
      </c>
      <c r="D35" s="12" t="s">
        <v>7</v>
      </c>
    </row>
    <row r="36">
      <c r="A36" s="13">
        <v>46115.0</v>
      </c>
      <c r="B36" s="12">
        <v>648855.0</v>
      </c>
      <c r="C36" s="12">
        <v>30000.0</v>
      </c>
      <c r="D36" s="12" t="s">
        <v>7</v>
      </c>
    </row>
    <row r="37">
      <c r="A37" s="13">
        <v>46298.0</v>
      </c>
      <c r="B37" s="12">
        <v>648856.0</v>
      </c>
      <c r="C37" s="12">
        <v>30000.0</v>
      </c>
    </row>
    <row r="38">
      <c r="A38" s="12" t="s">
        <v>202</v>
      </c>
      <c r="B38" s="12">
        <v>648857.0</v>
      </c>
      <c r="C38" s="12">
        <v>30000.0</v>
      </c>
    </row>
    <row r="41">
      <c r="A41" s="13"/>
    </row>
    <row r="44">
      <c r="A44" s="13"/>
    </row>
    <row r="45">
      <c r="A45" s="13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2">
    <cfRule type="containsText" dxfId="0" priority="1" operator="containsText" text="cleared">
      <formula>NOT(ISERROR(SEARCH(("cleared"),(A4))))</formula>
    </cfRule>
  </conditionalFormatting>
  <conditionalFormatting sqref="A4:Z1002">
    <cfRule type="containsText" dxfId="1" priority="2" operator="containsText" text="bounce">
      <formula>NOT(ISERROR(SEARCH(("bounce"),(A4))))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203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/>
      <c r="B4" s="12"/>
      <c r="C4" s="12"/>
      <c r="D4" s="12"/>
    </row>
    <row r="5">
      <c r="A5" s="20"/>
      <c r="B5" s="12"/>
      <c r="C5" s="12"/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204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3">
        <v>45419.0</v>
      </c>
      <c r="B4" s="12">
        <v>8375.0</v>
      </c>
      <c r="C4" s="12">
        <v>7000.0</v>
      </c>
      <c r="D4" s="12"/>
      <c r="E4" s="12" t="s">
        <v>8</v>
      </c>
    </row>
    <row r="5">
      <c r="A5" s="20"/>
      <c r="B5" s="12"/>
      <c r="C5" s="12"/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205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206</v>
      </c>
      <c r="B4" s="12">
        <v>54689.0</v>
      </c>
      <c r="C4" s="12">
        <v>13499.0</v>
      </c>
      <c r="D4" s="12" t="s">
        <v>7</v>
      </c>
    </row>
    <row r="5">
      <c r="A5" s="24" t="s">
        <v>25</v>
      </c>
      <c r="B5" s="12">
        <v>55849.0</v>
      </c>
      <c r="C5" s="12">
        <v>9204.0</v>
      </c>
      <c r="D5" s="12" t="s">
        <v>7</v>
      </c>
      <c r="E5" s="12"/>
    </row>
    <row r="6">
      <c r="A6" s="13">
        <v>45817.0</v>
      </c>
      <c r="B6" s="12">
        <v>56620.0</v>
      </c>
      <c r="C6" s="12">
        <v>9818.0</v>
      </c>
      <c r="D6" s="12" t="s">
        <v>7</v>
      </c>
      <c r="E6" s="12"/>
    </row>
    <row r="7">
      <c r="A7" s="13">
        <v>45759.0</v>
      </c>
      <c r="B7" s="12">
        <v>57461.0</v>
      </c>
      <c r="C7" s="12">
        <v>20000.0</v>
      </c>
      <c r="D7" s="12" t="s">
        <v>7</v>
      </c>
    </row>
    <row r="8">
      <c r="A8" s="26">
        <v>46054.0</v>
      </c>
      <c r="B8" s="12">
        <v>57528.0</v>
      </c>
      <c r="C8" s="12">
        <v>10000.0</v>
      </c>
      <c r="D8" s="12" t="s">
        <v>7</v>
      </c>
    </row>
    <row r="9">
      <c r="A9" s="26">
        <v>46174.0</v>
      </c>
      <c r="B9" s="12">
        <v>57529.0</v>
      </c>
      <c r="C9" s="12">
        <v>10000.0</v>
      </c>
      <c r="D9" s="12" t="s">
        <v>7</v>
      </c>
    </row>
    <row r="10">
      <c r="A10" s="12" t="s">
        <v>207</v>
      </c>
      <c r="B10" s="12">
        <v>57439.0</v>
      </c>
      <c r="C10" s="12">
        <v>18000.0</v>
      </c>
      <c r="D10" s="12" t="s">
        <v>7</v>
      </c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208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3">
        <v>46113.0</v>
      </c>
      <c r="B4" s="12">
        <v>95681.0</v>
      </c>
      <c r="C4" s="12">
        <v>5000.0</v>
      </c>
      <c r="D4" s="12" t="s">
        <v>90</v>
      </c>
    </row>
    <row r="5">
      <c r="A5" s="24" t="s">
        <v>163</v>
      </c>
      <c r="B5" s="12">
        <v>116655.0</v>
      </c>
      <c r="C5" s="12">
        <v>10000.0</v>
      </c>
      <c r="D5" s="12" t="s">
        <v>90</v>
      </c>
      <c r="E5" s="12"/>
    </row>
    <row r="6">
      <c r="A6" s="13">
        <v>46144.0</v>
      </c>
      <c r="B6" s="12">
        <v>116664.0</v>
      </c>
      <c r="C6" s="12">
        <v>10000.0</v>
      </c>
      <c r="D6" s="12" t="s">
        <v>7</v>
      </c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209</v>
      </c>
      <c r="I1" s="17"/>
      <c r="J1" s="18"/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/>
      <c r="B4" s="12"/>
      <c r="C4" s="12"/>
      <c r="D4" s="12"/>
    </row>
    <row r="5">
      <c r="A5" s="20"/>
      <c r="B5" s="12"/>
      <c r="C5" s="12"/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210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/>
      <c r="B4" s="12"/>
      <c r="C4" s="12"/>
      <c r="D4" s="12"/>
    </row>
    <row r="5">
      <c r="A5" s="20"/>
      <c r="B5" s="12"/>
      <c r="C5" s="12"/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211</v>
      </c>
      <c r="I1" s="17"/>
      <c r="J1" s="2" t="s">
        <v>0</v>
      </c>
      <c r="K1" s="3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3">
        <v>45577.0</v>
      </c>
      <c r="B4" s="12">
        <v>23381.0</v>
      </c>
      <c r="C4" s="12">
        <v>5000.0</v>
      </c>
      <c r="D4" s="12" t="s">
        <v>7</v>
      </c>
    </row>
    <row r="5">
      <c r="A5" s="20"/>
      <c r="B5" s="12"/>
      <c r="C5" s="12"/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212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213</v>
      </c>
      <c r="B4" s="12">
        <v>413513.0</v>
      </c>
      <c r="C4" s="12">
        <v>10000.0</v>
      </c>
      <c r="D4" s="12"/>
      <c r="E4" s="12" t="s">
        <v>8</v>
      </c>
    </row>
    <row r="5">
      <c r="A5" s="20"/>
      <c r="B5" s="12"/>
      <c r="C5" s="12"/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214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/>
      <c r="B4" s="12"/>
      <c r="C4" s="12"/>
      <c r="D4" s="12"/>
    </row>
    <row r="5">
      <c r="A5" s="20"/>
      <c r="B5" s="12"/>
      <c r="C5" s="12"/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215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/>
      <c r="B4" s="12"/>
      <c r="C4" s="12"/>
      <c r="D4" s="12"/>
    </row>
    <row r="5">
      <c r="A5" s="20"/>
      <c r="B5" s="12"/>
      <c r="C5" s="12"/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216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/>
      <c r="B4" s="12"/>
      <c r="C4" s="12"/>
      <c r="D4" s="12"/>
    </row>
    <row r="5">
      <c r="A5" s="20"/>
      <c r="B5" s="12"/>
      <c r="C5" s="12"/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217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218</v>
      </c>
      <c r="B4" s="12">
        <v>97865.0</v>
      </c>
      <c r="C4" s="12">
        <v>5000.0</v>
      </c>
      <c r="D4" s="12"/>
      <c r="E4" s="12" t="s">
        <v>8</v>
      </c>
    </row>
    <row r="5">
      <c r="A5" s="20"/>
      <c r="B5" s="12"/>
      <c r="C5" s="12"/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219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/>
      <c r="B4" s="12"/>
      <c r="C4" s="12"/>
      <c r="D4" s="12"/>
    </row>
    <row r="5">
      <c r="A5" s="20"/>
      <c r="B5" s="12"/>
      <c r="C5" s="12"/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220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3">
        <v>45784.0</v>
      </c>
      <c r="B4" s="12">
        <v>81018.0</v>
      </c>
      <c r="C4" s="12">
        <v>20000.0</v>
      </c>
      <c r="D4" s="12" t="s">
        <v>7</v>
      </c>
    </row>
    <row r="5">
      <c r="A5" s="20">
        <v>45668.0</v>
      </c>
      <c r="B5" s="12">
        <v>97189.0</v>
      </c>
      <c r="C5" s="12">
        <v>8793.0</v>
      </c>
      <c r="D5" s="12" t="s">
        <v>7</v>
      </c>
      <c r="E5" s="12"/>
    </row>
    <row r="6">
      <c r="A6" s="12" t="s">
        <v>221</v>
      </c>
      <c r="B6" s="12">
        <v>97063.0</v>
      </c>
      <c r="C6" s="12">
        <v>11588.0</v>
      </c>
      <c r="D6" s="12" t="s">
        <v>42</v>
      </c>
      <c r="E6" s="12"/>
    </row>
    <row r="7">
      <c r="A7" s="13">
        <v>46084.0</v>
      </c>
      <c r="B7" s="12">
        <v>97099.0</v>
      </c>
      <c r="C7" s="12">
        <v>6962.0</v>
      </c>
      <c r="D7" s="12" t="s">
        <v>7</v>
      </c>
    </row>
    <row r="8">
      <c r="A8" s="12" t="s">
        <v>222</v>
      </c>
      <c r="B8" s="12">
        <v>97113.0</v>
      </c>
      <c r="C8" s="12">
        <v>6089.0</v>
      </c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223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7" t="s">
        <v>224</v>
      </c>
      <c r="B4" s="7">
        <v>613055.0</v>
      </c>
      <c r="C4" s="7">
        <v>15340.0</v>
      </c>
      <c r="D4" s="7" t="s">
        <v>7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20"/>
      <c r="B5" s="12"/>
      <c r="C5" s="12"/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75"/>
    <col customWidth="1" min="4" max="4" width="18.5"/>
    <col customWidth="1" min="6" max="6" width="26.38"/>
  </cols>
  <sheetData>
    <row r="1" ht="41.25" customHeight="1">
      <c r="A1" s="1" t="s">
        <v>225</v>
      </c>
      <c r="I1" s="17"/>
      <c r="J1" s="18" t="s">
        <v>0</v>
      </c>
      <c r="K1" s="21">
        <v>0.0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5">
        <v>45963.0</v>
      </c>
      <c r="B4" s="12">
        <v>122830.0</v>
      </c>
      <c r="C4" s="12">
        <v>5000.0</v>
      </c>
      <c r="D4" s="12" t="s">
        <v>7</v>
      </c>
    </row>
    <row r="5">
      <c r="A5" s="12" t="s">
        <v>226</v>
      </c>
      <c r="B5" s="12">
        <v>129675.0</v>
      </c>
      <c r="C5" s="12">
        <v>10000.0</v>
      </c>
      <c r="D5" s="12" t="s">
        <v>7</v>
      </c>
    </row>
    <row r="6">
      <c r="A6" s="12" t="s">
        <v>227</v>
      </c>
      <c r="B6" s="12">
        <v>135361.0</v>
      </c>
      <c r="C6" s="12">
        <v>10000.0</v>
      </c>
    </row>
  </sheetData>
  <mergeCells count="6">
    <mergeCell ref="A1:H1"/>
    <mergeCell ref="A2:A3"/>
    <mergeCell ref="B2:B3"/>
    <mergeCell ref="C2:C3"/>
    <mergeCell ref="D2:E2"/>
    <mergeCell ref="F2:F3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5.13"/>
    <col customWidth="1" min="3" max="3" width="14.13"/>
    <col customWidth="1" min="4" max="4" width="18.13"/>
    <col customWidth="1" min="5" max="5" width="15.75"/>
    <col customWidth="1" min="6" max="6" width="26.25"/>
  </cols>
  <sheetData>
    <row r="1" ht="41.25" customHeight="1">
      <c r="A1" s="1" t="s">
        <v>228</v>
      </c>
      <c r="I1" s="17"/>
      <c r="J1" s="18" t="s">
        <v>0</v>
      </c>
      <c r="K1" s="21">
        <v>0.0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5">
        <v>45688.0</v>
      </c>
      <c r="B4" s="12">
        <v>921989.0</v>
      </c>
      <c r="C4" s="12">
        <v>4956.0</v>
      </c>
      <c r="D4" s="12" t="s">
        <v>7</v>
      </c>
    </row>
    <row r="5">
      <c r="A5" s="12" t="s">
        <v>229</v>
      </c>
      <c r="B5" s="12">
        <v>920780.0</v>
      </c>
      <c r="C5" s="12">
        <v>2000.0</v>
      </c>
      <c r="D5" s="12" t="s">
        <v>7</v>
      </c>
    </row>
    <row r="6">
      <c r="A6" s="13">
        <v>45994.0</v>
      </c>
      <c r="B6" s="12">
        <v>920785.0</v>
      </c>
      <c r="C6" s="12">
        <v>2500.0</v>
      </c>
      <c r="D6" s="12" t="s">
        <v>7</v>
      </c>
    </row>
    <row r="7">
      <c r="A7" s="12" t="s">
        <v>230</v>
      </c>
      <c r="B7" s="12">
        <v>920789.0</v>
      </c>
      <c r="C7" s="12">
        <v>2000.0</v>
      </c>
      <c r="D7" s="12" t="s">
        <v>7</v>
      </c>
    </row>
    <row r="8">
      <c r="A8" s="12" t="s">
        <v>143</v>
      </c>
      <c r="B8" s="12">
        <v>921990.0</v>
      </c>
      <c r="C8" s="12">
        <v>3000.0</v>
      </c>
      <c r="D8" s="12" t="s">
        <v>7</v>
      </c>
    </row>
    <row r="9">
      <c r="A9" s="13">
        <v>45904.0</v>
      </c>
      <c r="B9" s="12">
        <v>360806.0</v>
      </c>
      <c r="C9" s="12">
        <v>2500.0</v>
      </c>
      <c r="D9" s="12" t="s">
        <v>7</v>
      </c>
    </row>
    <row r="10">
      <c r="A10" s="12" t="s">
        <v>231</v>
      </c>
      <c r="B10" s="12">
        <v>360808.0</v>
      </c>
      <c r="C10" s="12">
        <v>2000.0</v>
      </c>
      <c r="D10" s="12" t="s">
        <v>7</v>
      </c>
    </row>
    <row r="11">
      <c r="A11" s="12" t="s">
        <v>29</v>
      </c>
      <c r="B11" s="12">
        <v>360812.0</v>
      </c>
      <c r="C11" s="12">
        <v>2000.0</v>
      </c>
      <c r="D11" s="12" t="s">
        <v>7</v>
      </c>
    </row>
    <row r="12">
      <c r="A12" s="13">
        <v>45843.0</v>
      </c>
      <c r="B12" s="12">
        <v>360819.0</v>
      </c>
      <c r="C12" s="12">
        <v>2000.0</v>
      </c>
      <c r="D12" s="12" t="s">
        <v>7</v>
      </c>
    </row>
    <row r="13">
      <c r="A13" s="13">
        <v>45967.0</v>
      </c>
      <c r="B13" s="12">
        <v>360822.0</v>
      </c>
      <c r="C13" s="12">
        <v>2000.0</v>
      </c>
      <c r="D13" s="12" t="s">
        <v>7</v>
      </c>
    </row>
    <row r="14">
      <c r="A14" s="13">
        <v>45937.0</v>
      </c>
      <c r="B14" s="12">
        <v>360829.0</v>
      </c>
      <c r="C14" s="12">
        <v>2000.0</v>
      </c>
      <c r="D14" s="12" t="s">
        <v>7</v>
      </c>
    </row>
    <row r="15">
      <c r="A15" s="13">
        <v>45726.0</v>
      </c>
      <c r="B15" s="12">
        <v>921996.0</v>
      </c>
      <c r="C15" s="12">
        <v>2000.0</v>
      </c>
      <c r="D15" s="12" t="s">
        <v>90</v>
      </c>
    </row>
    <row r="16">
      <c r="A16" s="12" t="s">
        <v>232</v>
      </c>
      <c r="B16" s="12">
        <v>921998.0</v>
      </c>
      <c r="C16" s="12">
        <v>2000.0</v>
      </c>
      <c r="D16" s="12" t="s">
        <v>7</v>
      </c>
    </row>
  </sheetData>
  <mergeCells count="6">
    <mergeCell ref="A1:H1"/>
    <mergeCell ref="A2:A3"/>
    <mergeCell ref="B2:B3"/>
    <mergeCell ref="C2:C3"/>
    <mergeCell ref="D2:E2"/>
    <mergeCell ref="F2:F3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5.13"/>
    <col customWidth="1" min="3" max="3" width="14.13"/>
    <col customWidth="1" min="4" max="4" width="18.13"/>
    <col customWidth="1" min="5" max="5" width="15.75"/>
    <col customWidth="1" min="6" max="6" width="26.25"/>
  </cols>
  <sheetData>
    <row r="1" ht="41.25" customHeight="1">
      <c r="A1" s="1" t="s">
        <v>233</v>
      </c>
      <c r="I1" s="17"/>
      <c r="J1" s="18" t="s">
        <v>0</v>
      </c>
      <c r="K1" s="21">
        <v>0.0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5">
        <v>45703.0</v>
      </c>
      <c r="B4" s="12">
        <v>12958.0</v>
      </c>
      <c r="C4" s="12">
        <v>4000.0</v>
      </c>
      <c r="D4" s="12" t="s">
        <v>7</v>
      </c>
    </row>
    <row r="5">
      <c r="A5" s="12" t="s">
        <v>234</v>
      </c>
      <c r="B5" s="12">
        <v>12998.0</v>
      </c>
      <c r="C5" s="12">
        <v>5000.0</v>
      </c>
      <c r="D5" s="12" t="s">
        <v>7</v>
      </c>
    </row>
    <row r="6">
      <c r="A6" s="12" t="s">
        <v>117</v>
      </c>
      <c r="B6" s="12">
        <v>13007.0</v>
      </c>
      <c r="C6" s="12">
        <v>5000.0</v>
      </c>
      <c r="D6" s="12" t="s">
        <v>7</v>
      </c>
    </row>
    <row r="7">
      <c r="A7" s="13">
        <v>46002.0</v>
      </c>
      <c r="B7" s="12">
        <v>13045.0</v>
      </c>
      <c r="C7" s="12">
        <v>4000.0</v>
      </c>
      <c r="D7" s="12" t="s">
        <v>7</v>
      </c>
    </row>
    <row r="8">
      <c r="A8" s="12" t="s">
        <v>235</v>
      </c>
      <c r="B8" s="12">
        <v>13065.0</v>
      </c>
      <c r="C8" s="12">
        <v>5000.0</v>
      </c>
      <c r="D8" s="12" t="s">
        <v>42</v>
      </c>
    </row>
    <row r="9">
      <c r="A9" s="12" t="s">
        <v>236</v>
      </c>
      <c r="B9" s="12">
        <v>13074.0</v>
      </c>
      <c r="C9" s="12">
        <v>5000.0</v>
      </c>
      <c r="D9" s="12" t="s">
        <v>7</v>
      </c>
    </row>
    <row r="10">
      <c r="A10" s="13">
        <v>46268.0</v>
      </c>
      <c r="B10" s="12">
        <v>17877.0</v>
      </c>
      <c r="C10" s="12">
        <v>4500.0</v>
      </c>
      <c r="D10" s="12" t="s">
        <v>237</v>
      </c>
    </row>
  </sheetData>
  <mergeCells count="6">
    <mergeCell ref="A1:H1"/>
    <mergeCell ref="A2:A3"/>
    <mergeCell ref="B2:B3"/>
    <mergeCell ref="C2:C3"/>
    <mergeCell ref="D2:E2"/>
    <mergeCell ref="F2:F3"/>
  </mergeCell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7.13"/>
    <col customWidth="1" min="3" max="3" width="18.63"/>
    <col customWidth="1" min="4" max="4" width="16.88"/>
    <col customWidth="1" min="5" max="5" width="16.38"/>
    <col customWidth="1" min="6" max="6" width="14.75"/>
  </cols>
  <sheetData>
    <row r="1" ht="41.25" customHeight="1">
      <c r="A1" s="1" t="s">
        <v>238</v>
      </c>
      <c r="I1" s="17"/>
      <c r="J1" s="18" t="s">
        <v>0</v>
      </c>
      <c r="K1" s="21">
        <v>0.0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B4" s="12">
        <v>271558.0</v>
      </c>
      <c r="C4" s="12">
        <v>18360.0</v>
      </c>
    </row>
  </sheetData>
  <mergeCells count="6">
    <mergeCell ref="A1:H1"/>
    <mergeCell ref="A2:A3"/>
    <mergeCell ref="B2:B3"/>
    <mergeCell ref="C2:C3"/>
    <mergeCell ref="D2:E2"/>
    <mergeCell ref="F2:F3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</cols>
  <sheetData>
    <row r="1" ht="41.25" customHeight="1">
      <c r="A1" s="1" t="s">
        <v>239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240</v>
      </c>
      <c r="B4" s="12">
        <v>200993.0</v>
      </c>
      <c r="C4" s="12">
        <v>12600.0</v>
      </c>
      <c r="E4" s="27" t="s">
        <v>8</v>
      </c>
    </row>
    <row r="5">
      <c r="A5" s="12" t="s">
        <v>173</v>
      </c>
      <c r="B5" s="12">
        <v>201005.0</v>
      </c>
      <c r="C5" s="12">
        <v>25000.0</v>
      </c>
      <c r="D5" s="28" t="s">
        <v>42</v>
      </c>
    </row>
    <row r="6">
      <c r="A6" s="13">
        <v>45695.0</v>
      </c>
      <c r="B6" s="12">
        <v>201022.0</v>
      </c>
      <c r="C6" s="12">
        <v>10000.0</v>
      </c>
      <c r="D6" s="28" t="s">
        <v>42</v>
      </c>
    </row>
    <row r="7">
      <c r="A7" s="13">
        <v>45697.0</v>
      </c>
      <c r="B7" s="12">
        <v>3.0</v>
      </c>
      <c r="C7" s="12">
        <v>15000.0</v>
      </c>
      <c r="D7" s="28" t="s">
        <v>42</v>
      </c>
    </row>
    <row r="8">
      <c r="A8" s="13">
        <v>46328.0</v>
      </c>
      <c r="B8" s="12">
        <v>14.0</v>
      </c>
      <c r="C8" s="12">
        <v>38680.0</v>
      </c>
      <c r="D8" s="28" t="s">
        <v>7</v>
      </c>
    </row>
    <row r="9">
      <c r="A9" s="13">
        <v>46359.0</v>
      </c>
      <c r="B9" s="12">
        <v>17.0</v>
      </c>
      <c r="C9" s="12">
        <v>30000.0</v>
      </c>
    </row>
  </sheetData>
  <mergeCells count="6">
    <mergeCell ref="A1:H1"/>
    <mergeCell ref="A2:A3"/>
    <mergeCell ref="B2:B3"/>
    <mergeCell ref="C2:C3"/>
    <mergeCell ref="D2:E2"/>
    <mergeCell ref="F2:F3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241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242</v>
      </c>
      <c r="B4" s="12">
        <v>5830.0</v>
      </c>
      <c r="C4" s="12">
        <v>8307.0</v>
      </c>
      <c r="D4" s="12" t="s">
        <v>7</v>
      </c>
    </row>
    <row r="5">
      <c r="A5" s="24" t="s">
        <v>172</v>
      </c>
      <c r="B5" s="12">
        <v>5841.0</v>
      </c>
      <c r="C5" s="12">
        <v>1298.0</v>
      </c>
      <c r="D5" s="12" t="s">
        <v>7</v>
      </c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243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3">
        <v>45996.0</v>
      </c>
      <c r="B4" s="12">
        <v>2668.0</v>
      </c>
      <c r="C4" s="12">
        <v>10102.0</v>
      </c>
      <c r="D4" s="12" t="s">
        <v>7</v>
      </c>
    </row>
    <row r="5">
      <c r="A5" s="24" t="s">
        <v>244</v>
      </c>
      <c r="B5" s="12">
        <v>2714.0</v>
      </c>
      <c r="C5" s="12">
        <v>3600.0</v>
      </c>
      <c r="D5" s="12" t="s">
        <v>7</v>
      </c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245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246</v>
      </c>
      <c r="B4" s="12">
        <v>26434.0</v>
      </c>
      <c r="C4" s="12">
        <v>4000.0</v>
      </c>
      <c r="D4" s="12" t="s">
        <v>7</v>
      </c>
    </row>
    <row r="5">
      <c r="A5" s="24" t="s">
        <v>247</v>
      </c>
      <c r="B5" s="12">
        <v>27875.0</v>
      </c>
      <c r="C5" s="12">
        <v>5000.0</v>
      </c>
      <c r="D5" s="12" t="s">
        <v>7</v>
      </c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autoFilter ref="$A$1:$H$5"/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248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249</v>
      </c>
      <c r="B4" s="12">
        <v>82311.0</v>
      </c>
      <c r="C4" s="12">
        <v>10000.0</v>
      </c>
      <c r="D4" s="12" t="s">
        <v>7</v>
      </c>
    </row>
    <row r="5">
      <c r="A5" s="24" t="s">
        <v>250</v>
      </c>
      <c r="B5" s="12">
        <v>994969.0</v>
      </c>
      <c r="C5" s="12">
        <v>10000.0</v>
      </c>
      <c r="D5" s="12" t="s">
        <v>7</v>
      </c>
      <c r="E5" s="12"/>
    </row>
    <row r="6">
      <c r="A6" s="23"/>
      <c r="B6" s="23"/>
      <c r="C6" s="23"/>
      <c r="E6" s="12"/>
    </row>
    <row r="7">
      <c r="A7" s="12" t="s">
        <v>251</v>
      </c>
      <c r="B7" s="12">
        <v>65559.0</v>
      </c>
      <c r="C7" s="12">
        <v>10000.0</v>
      </c>
      <c r="D7" s="12" t="s">
        <v>7</v>
      </c>
    </row>
    <row r="8">
      <c r="A8" s="13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252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253</v>
      </c>
      <c r="B4" s="12">
        <v>138733.0</v>
      </c>
      <c r="C4" s="12">
        <v>5000.0</v>
      </c>
      <c r="D4" s="12" t="s">
        <v>27</v>
      </c>
      <c r="E4" s="12" t="s">
        <v>186</v>
      </c>
    </row>
    <row r="5">
      <c r="A5" s="20"/>
      <c r="B5" s="12"/>
      <c r="C5" s="12"/>
      <c r="D5" s="12" t="s">
        <v>27</v>
      </c>
      <c r="E5" s="12"/>
    </row>
    <row r="6">
      <c r="A6" s="12"/>
      <c r="B6" s="12"/>
      <c r="C6" s="12"/>
      <c r="E6" s="12"/>
    </row>
    <row r="7">
      <c r="A7" s="13"/>
      <c r="B7" s="12"/>
      <c r="C7" s="12"/>
      <c r="D7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254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3">
        <v>45936.0</v>
      </c>
      <c r="B4" s="12">
        <v>428695.0</v>
      </c>
      <c r="C4" s="12">
        <v>5000.0</v>
      </c>
      <c r="D4" s="12" t="s">
        <v>7</v>
      </c>
    </row>
    <row r="5">
      <c r="A5" s="12" t="s">
        <v>95</v>
      </c>
      <c r="B5" s="12">
        <v>440953.0</v>
      </c>
      <c r="C5" s="12">
        <v>5000.0</v>
      </c>
      <c r="D5" s="12" t="s">
        <v>7</v>
      </c>
      <c r="E5" s="12"/>
    </row>
    <row r="6">
      <c r="A6" s="12" t="s">
        <v>255</v>
      </c>
      <c r="B6" s="12">
        <v>678779.0</v>
      </c>
      <c r="C6" s="12">
        <v>5000.0</v>
      </c>
      <c r="D6" s="12" t="s">
        <v>7</v>
      </c>
      <c r="E6" s="12"/>
    </row>
    <row r="7">
      <c r="A7" s="12" t="s">
        <v>256</v>
      </c>
      <c r="B7" s="12">
        <v>678789.0</v>
      </c>
      <c r="C7" s="12">
        <v>5000.0</v>
      </c>
      <c r="D7" s="12" t="s">
        <v>7</v>
      </c>
    </row>
    <row r="8">
      <c r="A8" s="12" t="s">
        <v>257</v>
      </c>
      <c r="B8" s="12">
        <v>678831.0</v>
      </c>
      <c r="C8" s="12">
        <v>5000.0</v>
      </c>
      <c r="D8" s="12" t="s">
        <v>7</v>
      </c>
    </row>
    <row r="9">
      <c r="A9" s="13">
        <v>45879.0</v>
      </c>
      <c r="B9" s="12">
        <v>678832.0</v>
      </c>
      <c r="C9" s="12">
        <v>5000.0</v>
      </c>
      <c r="D9" s="12" t="s">
        <v>7</v>
      </c>
    </row>
    <row r="10">
      <c r="A10" s="12" t="s">
        <v>43</v>
      </c>
      <c r="B10" s="12">
        <v>678833.0</v>
      </c>
      <c r="C10" s="12">
        <v>5000.0</v>
      </c>
      <c r="D10" s="12" t="s">
        <v>7</v>
      </c>
    </row>
    <row r="11">
      <c r="A11" s="12" t="s">
        <v>155</v>
      </c>
      <c r="B11" s="12">
        <v>640050.0</v>
      </c>
      <c r="C11" s="12">
        <v>5000.0</v>
      </c>
      <c r="D11" s="12" t="s">
        <v>7</v>
      </c>
    </row>
    <row r="12">
      <c r="A12" s="12" t="s">
        <v>136</v>
      </c>
      <c r="B12" s="12">
        <v>613757.0</v>
      </c>
      <c r="C12" s="12">
        <v>5000.0</v>
      </c>
      <c r="D12" s="12" t="s">
        <v>7</v>
      </c>
    </row>
    <row r="13">
      <c r="A13" s="13">
        <v>45820.0</v>
      </c>
      <c r="B13" s="12">
        <v>613749.0</v>
      </c>
      <c r="C13" s="12">
        <v>5000.0</v>
      </c>
      <c r="D13" s="12" t="s">
        <v>7</v>
      </c>
    </row>
    <row r="14">
      <c r="A14" s="12" t="s">
        <v>178</v>
      </c>
      <c r="B14" s="12">
        <v>613750.0</v>
      </c>
      <c r="C14" s="12">
        <v>5000.0</v>
      </c>
      <c r="D14" s="12" t="s">
        <v>7</v>
      </c>
    </row>
    <row r="15">
      <c r="A15" s="13">
        <v>46266.0</v>
      </c>
      <c r="B15" s="12">
        <v>665340.0</v>
      </c>
      <c r="C15" s="12">
        <v>5000.0</v>
      </c>
      <c r="D15" s="12" t="s">
        <v>7</v>
      </c>
    </row>
    <row r="16">
      <c r="A16" s="12" t="s">
        <v>162</v>
      </c>
      <c r="B16" s="12">
        <v>665341.0</v>
      </c>
      <c r="C16" s="12">
        <v>5000.0</v>
      </c>
      <c r="D16" s="12" t="s">
        <v>90</v>
      </c>
    </row>
    <row r="17">
      <c r="A17" s="12" t="s">
        <v>221</v>
      </c>
      <c r="B17" s="12">
        <v>665342.0</v>
      </c>
      <c r="C17" s="12">
        <v>5000.0</v>
      </c>
      <c r="D17" s="12" t="s">
        <v>42</v>
      </c>
    </row>
    <row r="18">
      <c r="A18" s="12" t="s">
        <v>65</v>
      </c>
      <c r="B18" s="12">
        <v>665343.0</v>
      </c>
      <c r="C18" s="12">
        <v>5000.0</v>
      </c>
      <c r="D18" s="12" t="s">
        <v>7</v>
      </c>
    </row>
    <row r="19">
      <c r="A19" s="13">
        <v>46116.0</v>
      </c>
      <c r="B19" s="12">
        <v>106421.0</v>
      </c>
      <c r="C19" s="12">
        <v>5000.0</v>
      </c>
    </row>
    <row r="20">
      <c r="A20" s="13">
        <v>46330.0</v>
      </c>
      <c r="B20" s="12">
        <v>106422.0</v>
      </c>
      <c r="C20" s="12">
        <v>5000.0</v>
      </c>
    </row>
    <row r="21">
      <c r="A21" s="12" t="s">
        <v>258</v>
      </c>
      <c r="B21" s="12">
        <v>106423.0</v>
      </c>
      <c r="C21" s="12">
        <v>5000.0</v>
      </c>
    </row>
    <row r="22">
      <c r="A22" s="12" t="s">
        <v>138</v>
      </c>
      <c r="B22" s="12">
        <v>106424.0</v>
      </c>
      <c r="C22" s="12">
        <v>5000.0</v>
      </c>
    </row>
    <row r="23">
      <c r="A23" s="12" t="s">
        <v>259</v>
      </c>
      <c r="B23" s="12">
        <v>106425.0</v>
      </c>
      <c r="C23" s="12">
        <v>5000.0</v>
      </c>
    </row>
  </sheetData>
  <autoFilter ref="$A$1:$H$23"/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260</v>
      </c>
      <c r="I1" s="17"/>
      <c r="J1" s="18" t="s">
        <v>0</v>
      </c>
      <c r="K1" s="21">
        <f>SUMIF(E1:E999,"&lt;&gt;CLEARED",D1:D999)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3">
        <v>45846.0</v>
      </c>
      <c r="B4" s="12">
        <v>31525.0</v>
      </c>
      <c r="C4" s="12">
        <v>8000.0</v>
      </c>
      <c r="E4" s="12" t="s">
        <v>8</v>
      </c>
    </row>
    <row r="5">
      <c r="A5" s="12" t="s">
        <v>261</v>
      </c>
      <c r="B5" s="12">
        <v>33618.0</v>
      </c>
      <c r="C5" s="12">
        <v>10000.0</v>
      </c>
      <c r="D5" s="12" t="s">
        <v>90</v>
      </c>
      <c r="E5" s="12"/>
    </row>
    <row r="6">
      <c r="A6" s="13">
        <v>46083.0</v>
      </c>
      <c r="B6" s="12">
        <v>33643.0</v>
      </c>
      <c r="C6" s="12">
        <v>7000.0</v>
      </c>
      <c r="D6" s="12" t="s">
        <v>90</v>
      </c>
    </row>
    <row r="7">
      <c r="A7" s="13">
        <v>46205.0</v>
      </c>
      <c r="B7" s="12">
        <v>34952.0</v>
      </c>
      <c r="C7" s="12">
        <v>7500.0</v>
      </c>
      <c r="E7" s="12" t="s">
        <v>8</v>
      </c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0">
    <cfRule type="containsText" dxfId="0" priority="1" operator="containsText" text="cleared">
      <formula>NOT(ISERROR(SEARCH(("cleared"),(A4))))</formula>
    </cfRule>
  </conditionalFormatting>
  <conditionalFormatting sqref="A4:Z1000">
    <cfRule type="containsText" dxfId="1" priority="2" operator="containsText" text="bounce">
      <formula>NOT(ISERROR(SEARCH(("bounce"),(A4))))</formula>
    </cfRule>
  </conditionalFormatting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262</v>
      </c>
      <c r="I1" s="17"/>
      <c r="J1" s="18" t="s">
        <v>0</v>
      </c>
      <c r="K1" s="21">
        <f>SUMIF(E1:E999,"&lt;&gt;CLEARED",D1:D999)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3">
        <v>45969.0</v>
      </c>
      <c r="B4" s="12">
        <v>624308.0</v>
      </c>
      <c r="C4" s="12">
        <v>10077.0</v>
      </c>
      <c r="D4" s="12" t="s">
        <v>7</v>
      </c>
    </row>
    <row r="5">
      <c r="A5" s="12" t="s">
        <v>179</v>
      </c>
      <c r="B5" s="12">
        <v>624330.0</v>
      </c>
      <c r="C5" s="12">
        <v>10749.0</v>
      </c>
      <c r="D5" s="12" t="s">
        <v>7</v>
      </c>
      <c r="E5" s="12"/>
    </row>
    <row r="6">
      <c r="A6" s="13"/>
      <c r="B6" s="12"/>
      <c r="C6" s="12"/>
      <c r="D6" s="12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0">
    <cfRule type="containsText" dxfId="0" priority="1" operator="containsText" text="cleared">
      <formula>NOT(ISERROR(SEARCH(("cleared"),(A4))))</formula>
    </cfRule>
  </conditionalFormatting>
  <conditionalFormatting sqref="A4:Z1000">
    <cfRule type="containsText" dxfId="1" priority="2" operator="containsText" text="bounce">
      <formula>NOT(ISERROR(SEARCH(("bounce"),(A4))))</formula>
    </cfRule>
  </conditionalFormatting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263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3">
        <v>45816.0</v>
      </c>
      <c r="B4" s="12">
        <v>428.0</v>
      </c>
      <c r="C4" s="12">
        <v>18000.0</v>
      </c>
      <c r="D4" s="12" t="s">
        <v>7</v>
      </c>
    </row>
    <row r="5">
      <c r="A5" s="12" t="s">
        <v>264</v>
      </c>
      <c r="B5" s="12">
        <v>429.0</v>
      </c>
      <c r="C5" s="12">
        <v>18500.0</v>
      </c>
      <c r="D5" s="12" t="s">
        <v>7</v>
      </c>
      <c r="E5" s="12"/>
    </row>
    <row r="6">
      <c r="A6" s="12" t="s">
        <v>265</v>
      </c>
      <c r="B6" s="12">
        <v>435.0</v>
      </c>
      <c r="C6" s="12">
        <v>18600.0</v>
      </c>
      <c r="D6" s="12" t="s">
        <v>7</v>
      </c>
      <c r="E6" s="12"/>
    </row>
    <row r="7">
      <c r="A7" s="12" t="s">
        <v>266</v>
      </c>
      <c r="B7" s="12">
        <v>431.0</v>
      </c>
      <c r="C7" s="12">
        <v>18800.0</v>
      </c>
      <c r="D7" s="12" t="s">
        <v>7</v>
      </c>
    </row>
    <row r="8">
      <c r="A8" s="13">
        <v>45756.0</v>
      </c>
      <c r="B8" s="12">
        <v>432.0</v>
      </c>
      <c r="C8" s="12">
        <v>18400.0</v>
      </c>
      <c r="D8" s="12" t="s">
        <v>7</v>
      </c>
    </row>
    <row r="9">
      <c r="A9" s="12" t="s">
        <v>267</v>
      </c>
      <c r="B9" s="12">
        <v>433.0</v>
      </c>
      <c r="C9" s="12">
        <v>15645.0</v>
      </c>
      <c r="E9" s="12" t="s">
        <v>8</v>
      </c>
    </row>
  </sheetData>
  <autoFilter ref="$A$1:$H$9"/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268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37</v>
      </c>
      <c r="B4" s="12">
        <v>132688.0</v>
      </c>
      <c r="C4" s="12">
        <v>9988.0</v>
      </c>
      <c r="D4" s="12" t="s">
        <v>7</v>
      </c>
    </row>
    <row r="5">
      <c r="A5" s="12" t="s">
        <v>247</v>
      </c>
      <c r="B5" s="12">
        <v>132695.0</v>
      </c>
      <c r="C5" s="12">
        <v>10000.0</v>
      </c>
      <c r="D5" s="12" t="s">
        <v>7</v>
      </c>
      <c r="E5" s="12"/>
    </row>
    <row r="6">
      <c r="A6" s="13">
        <v>45667.0</v>
      </c>
      <c r="B6" s="12">
        <v>132699.0</v>
      </c>
      <c r="C6" s="12">
        <v>10000.0</v>
      </c>
      <c r="D6" s="12" t="s">
        <v>7</v>
      </c>
      <c r="E6" s="12"/>
    </row>
    <row r="7">
      <c r="A7" s="12" t="s">
        <v>269</v>
      </c>
      <c r="B7" s="12">
        <v>165025.0</v>
      </c>
      <c r="C7" s="12">
        <v>10000.0</v>
      </c>
      <c r="D7" s="12" t="s">
        <v>7</v>
      </c>
    </row>
    <row r="8">
      <c r="A8" s="12" t="s">
        <v>136</v>
      </c>
      <c r="B8" s="12">
        <v>165031.0</v>
      </c>
      <c r="C8" s="12">
        <v>12310.0</v>
      </c>
      <c r="D8" s="12" t="s">
        <v>7</v>
      </c>
    </row>
    <row r="9">
      <c r="A9" s="12" t="s">
        <v>270</v>
      </c>
      <c r="B9" s="12">
        <v>6137749.0</v>
      </c>
      <c r="C9" s="12">
        <v>5000.0</v>
      </c>
    </row>
    <row r="10">
      <c r="A10" s="12" t="s">
        <v>178</v>
      </c>
      <c r="B10" s="12">
        <v>6137750.0</v>
      </c>
      <c r="C10" s="12">
        <v>5000.0</v>
      </c>
    </row>
    <row r="11">
      <c r="A11" s="13">
        <v>45820.0</v>
      </c>
      <c r="B11" s="12">
        <v>6137751.0</v>
      </c>
      <c r="C11" s="12">
        <v>5000.0</v>
      </c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271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145</v>
      </c>
      <c r="B4" s="12">
        <v>133701.0</v>
      </c>
      <c r="C4" s="12">
        <v>1227.0</v>
      </c>
      <c r="D4" s="12" t="s">
        <v>7</v>
      </c>
    </row>
    <row r="5">
      <c r="E5" s="12"/>
    </row>
    <row r="6">
      <c r="E6" s="12"/>
    </row>
    <row r="8">
      <c r="A8" s="13"/>
    </row>
    <row r="9">
      <c r="A9" s="13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272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273</v>
      </c>
      <c r="B4" s="12">
        <v>4023.0</v>
      </c>
      <c r="C4" s="12">
        <v>9000.0</v>
      </c>
      <c r="D4" s="12" t="s">
        <v>7</v>
      </c>
    </row>
    <row r="5">
      <c r="E5" s="12"/>
    </row>
    <row r="6">
      <c r="E6" s="12"/>
    </row>
    <row r="8">
      <c r="A8" s="13"/>
    </row>
    <row r="9">
      <c r="A9" s="13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274</v>
      </c>
      <c r="I1" s="17"/>
      <c r="J1" s="18" t="s">
        <v>0</v>
      </c>
      <c r="K1" s="21">
        <f>SUMIF(E1:E1000,"&lt;&gt;CLEARED",D1:D1000)</f>
        <v>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3">
        <v>45940.0</v>
      </c>
      <c r="B4" s="12">
        <v>21202.0</v>
      </c>
      <c r="C4" s="12">
        <v>4650.0</v>
      </c>
      <c r="D4" s="12" t="s">
        <v>27</v>
      </c>
    </row>
    <row r="5">
      <c r="E5" s="12"/>
    </row>
    <row r="6">
      <c r="E6" s="12"/>
    </row>
    <row r="8">
      <c r="A8" s="13"/>
    </row>
    <row r="9">
      <c r="A9" s="13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275</v>
      </c>
      <c r="I1" s="17"/>
      <c r="J1" s="18" t="s">
        <v>0</v>
      </c>
      <c r="K1" s="21">
        <v>0.0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140</v>
      </c>
      <c r="B4" s="12">
        <v>679434.0</v>
      </c>
      <c r="C4" s="12">
        <v>10000.0</v>
      </c>
      <c r="D4" s="12" t="s">
        <v>7</v>
      </c>
    </row>
    <row r="5">
      <c r="A5" s="13">
        <v>45818.0</v>
      </c>
      <c r="B5" s="12">
        <v>679435.0</v>
      </c>
      <c r="C5" s="12">
        <v>10000.0</v>
      </c>
      <c r="D5" s="12" t="s">
        <v>7</v>
      </c>
      <c r="E5" s="12"/>
    </row>
    <row r="6">
      <c r="A6" s="13">
        <v>46328.0</v>
      </c>
      <c r="B6" s="12">
        <v>355744.0</v>
      </c>
      <c r="C6" s="12">
        <v>10000.0</v>
      </c>
      <c r="D6" s="12" t="s">
        <v>90</v>
      </c>
      <c r="E6" s="12"/>
    </row>
    <row r="7">
      <c r="A7" s="12" t="s">
        <v>276</v>
      </c>
      <c r="B7" s="12">
        <v>355745.0</v>
      </c>
      <c r="C7" s="12">
        <v>10000.0</v>
      </c>
      <c r="D7" s="12" t="s">
        <v>7</v>
      </c>
    </row>
    <row r="8">
      <c r="A8" s="13"/>
    </row>
    <row r="9">
      <c r="A9" s="13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277</v>
      </c>
      <c r="I1" s="17"/>
      <c r="J1" s="18" t="s">
        <v>0</v>
      </c>
      <c r="K1" s="21">
        <v>0.0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3">
        <v>45820.0</v>
      </c>
      <c r="B4" s="12">
        <v>266188.0</v>
      </c>
      <c r="C4" s="12">
        <v>12267.0</v>
      </c>
      <c r="D4" s="12" t="s">
        <v>278</v>
      </c>
    </row>
    <row r="5">
      <c r="A5" s="12" t="s">
        <v>279</v>
      </c>
      <c r="B5" s="12">
        <v>266194.0</v>
      </c>
      <c r="C5" s="12">
        <v>40000.0</v>
      </c>
      <c r="D5" s="12" t="s">
        <v>27</v>
      </c>
      <c r="E5" s="12" t="s">
        <v>8</v>
      </c>
      <c r="F5" s="12" t="s">
        <v>280</v>
      </c>
    </row>
    <row r="6">
      <c r="E6" s="12"/>
    </row>
    <row r="8">
      <c r="A8" s="13"/>
    </row>
    <row r="9">
      <c r="A9" s="13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3.5"/>
    <col customWidth="1" min="3" max="3" width="25.5"/>
    <col customWidth="1" min="4" max="4" width="20.38"/>
    <col customWidth="1" min="5" max="5" width="21.75"/>
    <col customWidth="1" min="6" max="6" width="32.0"/>
    <col customWidth="1" min="7" max="7" width="12.38"/>
    <col customWidth="1" min="8" max="8" width="10.75"/>
  </cols>
  <sheetData>
    <row r="1" ht="41.25" customHeight="1">
      <c r="A1" s="1" t="s">
        <v>281</v>
      </c>
      <c r="I1" s="17"/>
      <c r="J1" s="18" t="s">
        <v>0</v>
      </c>
      <c r="K1" s="21">
        <v>0.0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2" t="s">
        <v>282</v>
      </c>
      <c r="B4" s="12">
        <v>26646.0</v>
      </c>
      <c r="C4" s="12">
        <v>5600.0</v>
      </c>
      <c r="D4" s="12" t="s">
        <v>7</v>
      </c>
    </row>
    <row r="5">
      <c r="A5" s="12" t="s">
        <v>27</v>
      </c>
      <c r="B5" s="12" t="s">
        <v>27</v>
      </c>
      <c r="C5" s="12" t="s">
        <v>27</v>
      </c>
      <c r="D5" s="12" t="s">
        <v>27</v>
      </c>
      <c r="E5" s="12"/>
    </row>
    <row r="6">
      <c r="E6" s="12"/>
    </row>
    <row r="8">
      <c r="A8" s="13"/>
    </row>
    <row r="9">
      <c r="A9" s="13"/>
    </row>
  </sheetData>
  <mergeCells count="6">
    <mergeCell ref="A1:H1"/>
    <mergeCell ref="A2:A3"/>
    <mergeCell ref="B2:B3"/>
    <mergeCell ref="C2:C3"/>
    <mergeCell ref="D2:E2"/>
    <mergeCell ref="F2:F3"/>
  </mergeCells>
  <conditionalFormatting sqref="A4:Z1001">
    <cfRule type="containsText" dxfId="0" priority="1" operator="containsText" text="cleared">
      <formula>NOT(ISERROR(SEARCH(("cleared"),(A4))))</formula>
    </cfRule>
  </conditionalFormatting>
  <conditionalFormatting sqref="A4:Z1001">
    <cfRule type="containsText" dxfId="1" priority="2" operator="containsText" text="bounce">
      <formula>NOT(ISERROR(SEARCH(("bounce"),(A4))))</formula>
    </cfRule>
  </conditionalFormatting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6.13"/>
    <col customWidth="1" min="3" max="3" width="14.63"/>
    <col customWidth="1" min="4" max="4" width="14.0"/>
    <col customWidth="1" min="5" max="5" width="14.25"/>
    <col customWidth="1" min="6" max="6" width="15.5"/>
  </cols>
  <sheetData>
    <row r="1">
      <c r="A1" s="1" t="s">
        <v>283</v>
      </c>
    </row>
    <row r="2">
      <c r="A2" s="4" t="s">
        <v>1</v>
      </c>
      <c r="B2" s="4" t="s">
        <v>2</v>
      </c>
      <c r="C2" s="4" t="s">
        <v>3</v>
      </c>
      <c r="D2" s="4" t="s">
        <v>4</v>
      </c>
      <c r="F2" s="4" t="s">
        <v>5</v>
      </c>
    </row>
    <row r="3">
      <c r="D3" s="4" t="s">
        <v>7</v>
      </c>
      <c r="E3" s="4" t="s">
        <v>8</v>
      </c>
    </row>
    <row r="4">
      <c r="A4" s="15">
        <v>46206.0</v>
      </c>
      <c r="B4" s="12">
        <v>147834.0</v>
      </c>
      <c r="C4" s="12">
        <v>15000.0</v>
      </c>
    </row>
  </sheetData>
  <mergeCells count="6">
    <mergeCell ref="A1:H1"/>
    <mergeCell ref="A2:A3"/>
    <mergeCell ref="B2:B3"/>
    <mergeCell ref="C2:C3"/>
    <mergeCell ref="D2:E2"/>
    <mergeCell ref="F2:F3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3.5"/>
    <col customWidth="1" min="5" max="5" width="20.88"/>
  </cols>
  <sheetData>
    <row r="8" ht="30.0" customHeight="1">
      <c r="D8" s="29" t="s">
        <v>284</v>
      </c>
      <c r="E8" s="30">
        <f>ITALIA!J1+CLASSIC!J1+CALICUT_MALL!J1+GRAND_PANAMARAM!J1</f>
        <v>1174228</v>
      </c>
    </row>
    <row r="9" ht="30.75" customHeight="1">
      <c r="D9" s="31" t="s">
        <v>285</v>
      </c>
      <c r="E9" s="32">
        <f>ITALIA!J2+CLASSIC!J2+CALICUT_MALL!J2+GRAND_PANAMARAM!J2</f>
        <v>55000</v>
      </c>
    </row>
  </sheetData>
  <drawing r:id="rId1"/>
</worksheet>
</file>